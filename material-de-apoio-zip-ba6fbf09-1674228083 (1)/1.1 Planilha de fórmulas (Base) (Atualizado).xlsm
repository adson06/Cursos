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nycho\Downloads\Unovacursos - Validado\"/>
    </mc:Choice>
  </mc:AlternateContent>
  <xr:revisionPtr revIDLastSave="0" documentId="13_ncr:1_{FCCA73D4-6EBE-40E8-99B5-ABAD4463BD46}" xr6:coauthVersionLast="47" xr6:coauthVersionMax="47" xr10:uidLastSave="{00000000-0000-0000-0000-000000000000}"/>
  <bookViews>
    <workbookView xWindow="-120" yWindow="-120" windowWidth="20730" windowHeight="11040" tabRatio="915" xr2:uid="{717BA410-2411-41BF-B422-BC5DAD75DC71}"/>
  </bookViews>
  <sheets>
    <sheet name="MENU" sheetId="2" r:id="rId1"/>
    <sheet name="Planilha BASE I" sheetId="1" r:id="rId2"/>
  </sheets>
  <definedNames>
    <definedName name="_xlnm._FilterDatabase" localSheetId="1" hidden="1">'Planilha BASE I'!$A$28:$F$43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4" i="1" l="1"/>
  <c r="A247" i="1"/>
  <c r="B247" i="1"/>
  <c r="B230" i="1" a="1"/>
  <c r="B230" i="1" s="1"/>
  <c r="D221" i="1"/>
  <c r="D222" i="1"/>
  <c r="D223" i="1"/>
  <c r="D224" i="1"/>
  <c r="D225" i="1"/>
  <c r="D226" i="1"/>
  <c r="D220" i="1"/>
  <c r="C221" i="1"/>
  <c r="B221" i="1"/>
  <c r="B222" i="1"/>
  <c r="C222" i="1" s="1"/>
  <c r="B223" i="1"/>
  <c r="C223" i="1" s="1"/>
  <c r="B224" i="1"/>
  <c r="C224" i="1" s="1"/>
  <c r="B225" i="1"/>
  <c r="C225" i="1" s="1"/>
  <c r="B226" i="1"/>
  <c r="C226" i="1" s="1"/>
  <c r="B220" i="1"/>
  <c r="C220" i="1" s="1"/>
  <c r="B215" i="1"/>
  <c r="B210" i="1"/>
  <c r="B211" i="1"/>
  <c r="B212" i="1"/>
  <c r="B213" i="1"/>
  <c r="B209" i="1"/>
  <c r="C210" i="1"/>
  <c r="C211" i="1"/>
  <c r="C212" i="1"/>
  <c r="C213" i="1"/>
  <c r="C209" i="1"/>
  <c r="G204" i="1"/>
  <c r="F204" i="1"/>
  <c r="E204" i="1"/>
  <c r="H204" i="1"/>
  <c r="H203" i="1"/>
  <c r="G203" i="1"/>
  <c r="F203" i="1"/>
  <c r="E203" i="1"/>
  <c r="E196" i="1"/>
  <c r="E197" i="1"/>
  <c r="E198" i="1"/>
  <c r="D197" i="1"/>
  <c r="D198" i="1"/>
  <c r="D196" i="1"/>
  <c r="H202" i="1"/>
  <c r="G202" i="1"/>
  <c r="F202" i="1"/>
  <c r="E202" i="1"/>
  <c r="C186" i="1"/>
  <c r="C187" i="1"/>
  <c r="C188" i="1"/>
  <c r="C189" i="1"/>
  <c r="C190" i="1"/>
  <c r="C191" i="1"/>
  <c r="C185" i="1"/>
  <c r="E180" i="1"/>
  <c r="E181" i="1"/>
  <c r="E175" i="1"/>
  <c r="E176" i="1"/>
  <c r="E174" i="1"/>
  <c r="C179" i="1"/>
  <c r="B179" i="1"/>
  <c r="A180" i="1"/>
  <c r="A181" i="1"/>
  <c r="A179" i="1"/>
  <c r="A174" i="1"/>
  <c r="C175" i="1"/>
  <c r="C176" i="1"/>
  <c r="C174" i="1"/>
  <c r="B175" i="1"/>
  <c r="B176" i="1"/>
  <c r="B174" i="1"/>
  <c r="A176" i="1"/>
  <c r="A175" i="1"/>
  <c r="I203" i="1" l="1"/>
  <c r="I204" i="1"/>
  <c r="I202" i="1"/>
  <c r="C165" i="1"/>
  <c r="B165" i="1"/>
  <c r="C162" i="1"/>
  <c r="B162" i="1"/>
  <c r="A162" i="1"/>
  <c r="C16" i="1"/>
  <c r="C17" i="1"/>
  <c r="C18" i="1"/>
  <c r="C19" i="1"/>
  <c r="C20" i="1"/>
  <c r="F99" i="1" a="1"/>
  <c r="F99" i="1" s="1"/>
  <c r="E99" i="1" a="1"/>
  <c r="E99" i="1" s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G60" i="1" a="1"/>
  <c r="G60" i="1" s="1"/>
  <c r="F60" i="1" a="1"/>
  <c r="F60" i="1" s="1"/>
  <c r="F39" i="1"/>
  <c r="F40" i="1"/>
  <c r="F41" i="1"/>
  <c r="F42" i="1"/>
  <c r="F43" i="1"/>
  <c r="F38" i="1"/>
  <c r="F37" i="1"/>
  <c r="C24" i="1"/>
  <c r="C25" i="1"/>
  <c r="C23" i="1"/>
  <c r="B3" i="1"/>
  <c r="C3" i="1" s="1"/>
  <c r="B4" i="1"/>
  <c r="C4" i="1" s="1"/>
  <c r="B5" i="1"/>
  <c r="C5" i="1" s="1"/>
  <c r="C15" i="1"/>
  <c r="C10" i="1"/>
  <c r="C11" i="1"/>
  <c r="C9" i="1"/>
  <c r="F129" i="1"/>
  <c r="C254" i="1"/>
  <c r="D147" i="1" l="1" a="1"/>
  <c r="D147" i="1" s="1"/>
  <c r="F131" i="1"/>
  <c r="G131" i="1"/>
  <c r="F130" i="1"/>
  <c r="D73" i="1"/>
  <c r="E73" i="1" s="1"/>
  <c r="D74" i="1"/>
  <c r="E74" i="1" s="1"/>
  <c r="D72" i="1"/>
  <c r="E72" i="1" s="1"/>
  <c r="C122" i="1" a="1"/>
  <c r="C122" i="1" s="1"/>
  <c r="C120" i="1"/>
  <c r="G130" i="1" l="1"/>
  <c r="G132" i="1"/>
  <c r="G133" i="1"/>
  <c r="G134" i="1"/>
  <c r="G135" i="1"/>
  <c r="F132" i="1"/>
  <c r="F133" i="1"/>
  <c r="F134" i="1"/>
  <c r="F135" i="1"/>
  <c r="D113" i="1"/>
  <c r="D114" i="1"/>
  <c r="D115" i="1"/>
  <c r="D116" i="1"/>
  <c r="D117" i="1"/>
  <c r="D118" i="1"/>
  <c r="D112" i="1"/>
  <c r="D119" i="1" l="1"/>
  <c r="B180" i="1"/>
  <c r="B181" i="1"/>
  <c r="B216" i="1"/>
  <c r="B250" i="1" l="1"/>
  <c r="E179" i="1"/>
  <c r="C181" i="1"/>
  <c r="C180" i="1"/>
  <c r="E140" i="1"/>
  <c r="F174" i="1" l="1"/>
  <c r="G174" i="1"/>
  <c r="F175" i="1"/>
  <c r="G175" i="1"/>
  <c r="F176" i="1"/>
  <c r="G176" i="1"/>
  <c r="F179" i="1"/>
  <c r="G179" i="1"/>
  <c r="F180" i="1"/>
  <c r="G180" i="1"/>
  <c r="F181" i="1"/>
  <c r="G181" i="1"/>
  <c r="A257" i="1"/>
  <c r="B251" i="1"/>
  <c r="F36" i="1"/>
  <c r="F35" i="1"/>
  <c r="F34" i="1"/>
  <c r="F33" i="1"/>
  <c r="F32" i="1"/>
  <c r="F31" i="1"/>
  <c r="F30" i="1"/>
  <c r="F29" i="1"/>
  <c r="J38" i="1" s="1"/>
  <c r="J33" i="1" l="1"/>
  <c r="J29" i="1"/>
  <c r="F44" i="1"/>
  <c r="E55" i="1" l="1"/>
  <c r="E54" i="1"/>
  <c r="E53" i="1"/>
  <c r="E52" i="1"/>
  <c r="E51" i="1"/>
  <c r="E50" i="1"/>
  <c r="E49" i="1"/>
  <c r="E48" i="1"/>
  <c r="E56" i="1" l="1"/>
  <c r="J4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</author>
    <author>bruno</author>
  </authors>
  <commentList>
    <comment ref="F29" authorId="0" shapeId="0" xr:uid="{A82A9382-04C2-4B88-996D-FA2DD9C7A77F}">
      <text>
        <r>
          <rPr>
            <b/>
            <sz val="9"/>
            <color indexed="81"/>
            <rFont val="Segoe UI"/>
            <family val="2"/>
          </rPr>
          <t xml:space="preserve">NYCHOLAS:
</t>
        </r>
        <r>
          <rPr>
            <sz val="9"/>
            <color indexed="81"/>
            <rFont val="Segoe UI"/>
            <family val="2"/>
          </rPr>
          <t xml:space="preserve">OPERADOR MATEMÁTICO SIMPLES (MULTIPLICAÇÃO)
</t>
        </r>
      </text>
    </comment>
    <comment ref="F44" authorId="0" shapeId="0" xr:uid="{BAA2FB24-0C2C-41B3-B265-AD306591A0B7}">
      <text>
        <r>
          <rPr>
            <b/>
            <sz val="9"/>
            <color indexed="81"/>
            <rFont val="Segoe UI"/>
            <family val="2"/>
          </rPr>
          <t>NYCHOLAS:
ATALHO ALT+= (SOMA ATOMÁTICA)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56" authorId="0" shapeId="0" xr:uid="{29086C9F-EA09-48D1-9898-FC71B4A47AF4}">
      <text>
        <r>
          <rPr>
            <b/>
            <sz val="9"/>
            <color indexed="81"/>
            <rFont val="Segoe UI"/>
            <family val="2"/>
          </rPr>
          <t>NYCHOLAS:
ATALHO ALT+= (SOMA ATOMÁTICA)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260" authorId="1" shapeId="0" xr:uid="{13BE811F-52D2-4271-8CC5-AB7A55328451}">
      <text>
        <r>
          <rPr>
            <b/>
            <sz val="9"/>
            <color indexed="81"/>
            <rFont val="Segoe UI"/>
            <family val="2"/>
          </rPr>
          <t>FERNANDA:
NÃO MEXA 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<sst xmlns="http://schemas.openxmlformats.org/spreadsheetml/2006/main" count="444" uniqueCount="250">
  <si>
    <t>SE</t>
  </si>
  <si>
    <t>JOÃO</t>
  </si>
  <si>
    <t>MARIA</t>
  </si>
  <si>
    <t>ANA</t>
  </si>
  <si>
    <t>SEERRO</t>
  </si>
  <si>
    <t>PRODUTO</t>
  </si>
  <si>
    <t>CUSTO</t>
  </si>
  <si>
    <t>VENDA</t>
  </si>
  <si>
    <t>LUCRO%</t>
  </si>
  <si>
    <t>PROCV</t>
  </si>
  <si>
    <t xml:space="preserve">CORRESP </t>
  </si>
  <si>
    <t>REGIÃO</t>
  </si>
  <si>
    <t>NORTE</t>
  </si>
  <si>
    <t>SUL</t>
  </si>
  <si>
    <t>LESTE</t>
  </si>
  <si>
    <t>OESTE</t>
  </si>
  <si>
    <t>POSIÇÃO</t>
  </si>
  <si>
    <t>MÊS</t>
  </si>
  <si>
    <t>ANO</t>
  </si>
  <si>
    <t>TOTAL</t>
  </si>
  <si>
    <t>SOMAR PRODUTO</t>
  </si>
  <si>
    <t>PREÇO</t>
  </si>
  <si>
    <t>QUANTIDADE</t>
  </si>
  <si>
    <t>SOMASE</t>
  </si>
  <si>
    <t>CONT.SE</t>
  </si>
  <si>
    <t>VENDEDOR</t>
  </si>
  <si>
    <t>FRANCISCO</t>
  </si>
  <si>
    <t>CONT.VALORES</t>
  </si>
  <si>
    <t>NYCHOLAS</t>
  </si>
  <si>
    <t>NÚM.CARACT ()</t>
  </si>
  <si>
    <t>SOMASES</t>
  </si>
  <si>
    <t>EXT.TEXTO</t>
  </si>
  <si>
    <t>SITUAÇÃO</t>
  </si>
  <si>
    <t>LUCRO VALOR R$</t>
  </si>
  <si>
    <t>QT</t>
  </si>
  <si>
    <t>PROCX</t>
  </si>
  <si>
    <t>JANEIRO</t>
  </si>
  <si>
    <t>FERNANDA</t>
  </si>
  <si>
    <t>JULIA</t>
  </si>
  <si>
    <t>MARCELO</t>
  </si>
  <si>
    <t>LUCAS</t>
  </si>
  <si>
    <t>VENDAS</t>
  </si>
  <si>
    <t>BÔNUS</t>
  </si>
  <si>
    <t>COLOCANDO MÁSCARA PARA CPF/CNPJ/CEP</t>
  </si>
  <si>
    <t>CÓDIGO GABARITO</t>
  </si>
  <si>
    <t>000"."000"."000-00</t>
  </si>
  <si>
    <t>00"."000-000</t>
  </si>
  <si>
    <t>CNPJ</t>
  </si>
  <si>
    <t>CPF</t>
  </si>
  <si>
    <t>CEP</t>
  </si>
  <si>
    <t>NOME</t>
  </si>
  <si>
    <t>CÓDIGO</t>
  </si>
  <si>
    <t>NOTA FISCAL</t>
  </si>
  <si>
    <t>CORRESP(L69;H70:H73;0)</t>
  </si>
  <si>
    <t>REGIAO</t>
  </si>
  <si>
    <t>VALOR</t>
  </si>
  <si>
    <t>INSUMO</t>
  </si>
  <si>
    <t>DADOS</t>
  </si>
  <si>
    <t>NOTA DE ENTRADA</t>
  </si>
  <si>
    <t>CONFIGURAÇÃO</t>
  </si>
  <si>
    <t>DIREITA/ESQUERDA</t>
  </si>
  <si>
    <t>SISTEMA</t>
  </si>
  <si>
    <t>MÉDIA</t>
  </si>
  <si>
    <t>X</t>
  </si>
  <si>
    <t>Y</t>
  </si>
  <si>
    <t>CONT.SE(A82:A86;C82)</t>
  </si>
  <si>
    <t xml:space="preserve">TOTAL COM ESPAÇO </t>
  </si>
  <si>
    <t>TOTAL SEM ESPAÇO</t>
  </si>
  <si>
    <t>RENATA</t>
  </si>
  <si>
    <t>ESTABELECIMENTO</t>
  </si>
  <si>
    <t>A</t>
  </si>
  <si>
    <t>B</t>
  </si>
  <si>
    <t>C</t>
  </si>
  <si>
    <t>BRUNO</t>
  </si>
  <si>
    <t>BLUSA</t>
  </si>
  <si>
    <t>BOLSA</t>
  </si>
  <si>
    <t>TÊNIS</t>
  </si>
  <si>
    <t>BONÉ</t>
  </si>
  <si>
    <t xml:space="preserve">TOALHA </t>
  </si>
  <si>
    <t>PREÇO UNITÁRIO</t>
  </si>
  <si>
    <t>VALOR TOTAL</t>
  </si>
  <si>
    <t>RELÓGIO</t>
  </si>
  <si>
    <t>SEERRO COM PROCV</t>
  </si>
  <si>
    <t>ESTADO</t>
  </si>
  <si>
    <t>NICOLAS</t>
  </si>
  <si>
    <t>JOAO</t>
  </si>
  <si>
    <t>BERNARDO</t>
  </si>
  <si>
    <t>ANTONIO</t>
  </si>
  <si>
    <t>ANTONELA</t>
  </si>
  <si>
    <t>RONDONIA</t>
  </si>
  <si>
    <t>RIO DE JANEIRO</t>
  </si>
  <si>
    <t>SÃO PAULO</t>
  </si>
  <si>
    <t>PARANÁ</t>
  </si>
  <si>
    <t>MINAS GERAIS</t>
  </si>
  <si>
    <t>MARANHAO</t>
  </si>
  <si>
    <t>TOCANTINS</t>
  </si>
  <si>
    <t>TABELA 1</t>
  </si>
  <si>
    <t>TABELA 2</t>
  </si>
  <si>
    <t>PLACA</t>
  </si>
  <si>
    <t>NÚMEROS</t>
  </si>
  <si>
    <t>ABC - 8129</t>
  </si>
  <si>
    <t>DEF - 9098</t>
  </si>
  <si>
    <t>GHI - 9937</t>
  </si>
  <si>
    <t>JKL - 9856</t>
  </si>
  <si>
    <t>MNO - 7659</t>
  </si>
  <si>
    <t>LETRAS</t>
  </si>
  <si>
    <t>ID</t>
  </si>
  <si>
    <t>ARRUMAR</t>
  </si>
  <si>
    <t>CONCATENAR ()</t>
  </si>
  <si>
    <t>FERNANDO MAIA</t>
  </si>
  <si>
    <t>MARIA SILVA</t>
  </si>
  <si>
    <t>ANDERSON JUNIOR</t>
  </si>
  <si>
    <t>FRANCISCA MADALENA</t>
  </si>
  <si>
    <t>PEDRO VITOR</t>
  </si>
  <si>
    <t>CARLOS LUIZ</t>
  </si>
  <si>
    <t>FRANCISCO ANDERSON</t>
  </si>
  <si>
    <t>SOMA</t>
  </si>
  <si>
    <t>1 (CRITÉRIO )</t>
  </si>
  <si>
    <t>2 (CRITÉRIO )</t>
  </si>
  <si>
    <t>3 (CRITÉRIO )</t>
  </si>
  <si>
    <t>SOMARPRODUTO((A35:A41=B45)*(B35:B41)*(C35:C41))</t>
  </si>
  <si>
    <t>SOMARPRODUTO(B35:B41;C35:C41)</t>
  </si>
  <si>
    <t>QUANTIDADE UNITÁRIA * VALOR UNITÁRIO E RETORNA O VALOR TOTAL</t>
  </si>
  <si>
    <t xml:space="preserve">MARIA </t>
  </si>
  <si>
    <t>PRI.MAIUSCULA</t>
  </si>
  <si>
    <t>EXEMPLO</t>
  </si>
  <si>
    <t>ÚNICO</t>
  </si>
  <si>
    <t>NOMES SEM DUPLICIDADE</t>
  </si>
  <si>
    <t>EXCEL BÁSICO</t>
  </si>
  <si>
    <t>EXCEL INTERMEDIÁRIO</t>
  </si>
  <si>
    <t>EXCEL AVANÇADO</t>
  </si>
  <si>
    <t>PREÇO JUSTO ?</t>
  </si>
  <si>
    <t>SE(B3="50,00";"PREÇO JUSTO";"PREÇO ACIMA")</t>
  </si>
  <si>
    <t>SE(B4="50,00";"PREÇO JUSTO";"PREÇO ACIMA")</t>
  </si>
  <si>
    <t>SE(B5="50,00";"PREÇO JUSTO";"PREÇO ACIMA")</t>
  </si>
  <si>
    <t>CONDIÇÃO LÓGICA (VERDADEIRA OU FALSA)</t>
  </si>
  <si>
    <t>ALUNO</t>
  </si>
  <si>
    <t>SITUAÇÃO ? APR OU REPR ?</t>
  </si>
  <si>
    <t>SE(B9&gt;=6;"APROVADO";"REPROVADO")</t>
  </si>
  <si>
    <t>SE(B10&gt;=6;"APROVADO";"REPROVADO")</t>
  </si>
  <si>
    <t>SE(B11&gt;=6;"APROVADO";"REPROVADO")</t>
  </si>
  <si>
    <t>RESOLUÇÃO DA FÓRMULA</t>
  </si>
  <si>
    <t>ALBERTO</t>
  </si>
  <si>
    <t>ÓTIMO ? MAL ? PÉSSIMO</t>
  </si>
  <si>
    <t>SE(B15&gt;=8;"ÓTIMO";SE(B15&gt;=6;"BOM";SE(B15&gt;=0;"PÉSSIMO")))</t>
  </si>
  <si>
    <t>SE(B16&gt;=8;"BOM";SE(B16&gt;=6;"MAL";SE(B16&gt;=0;"PÉSSIMO")))</t>
  </si>
  <si>
    <t>SE(B17&gt;=8;"BOM";SE(B17&gt;=6;"MAL";SE(B17&gt;=0;"PÉSSIMO")))</t>
  </si>
  <si>
    <t>SE(B18&gt;=8;"BOM";SE(B18&gt;=6;"MAL";SE(B18&gt;=0;"PÉSSIMO")))</t>
  </si>
  <si>
    <t>SE(B19&gt;=8;"BOM";SE(B19&gt;=6;"MAL";SE(B19&gt;=0;"PÉSSIMO")))</t>
  </si>
  <si>
    <t>SE(B20&gt;=8;"BOM";SE(B20&gt;=6;"MAL";SE(B20&gt;=0;"PÉSSIMO")))</t>
  </si>
  <si>
    <t>SE(B23&gt;=50;"COMPRA DE VALOR ALTO";"COMPRA DE VALOR BAIXO")</t>
  </si>
  <si>
    <t>SE(B24&gt;=50;"COMPRA DE VALOR ALTO";"COMPRA DE VALOR BAIXO")</t>
  </si>
  <si>
    <t>SE(B25&gt;=50;"COMPRA DE VALOR ALTO";"COMPRA DE VALOR BAIXO")</t>
  </si>
  <si>
    <t>SOMA COM + DE I CRITÉRIO</t>
  </si>
  <si>
    <t>PRODUTO E REGIÃO</t>
  </si>
  <si>
    <t>SOMASES(F29:F43;A29:A43;I33;B29:B43;I34)</t>
  </si>
  <si>
    <t>SOMASES(F29:F43;A29:A43;I29)</t>
  </si>
  <si>
    <t>PRODUTO, REGIÃO e MARCA</t>
  </si>
  <si>
    <t>SOMASES(F29:F43;A29:A43;I38;B29:B43;I39;C29:C43;I40)</t>
  </si>
  <si>
    <t>SOMA APENAS COM UM CRITÉRIO</t>
  </si>
  <si>
    <t>WORD BÁSICO</t>
  </si>
  <si>
    <t>WORD INTERMEDIÁRIO</t>
  </si>
  <si>
    <t>WORD AVANÇADO</t>
  </si>
  <si>
    <t>POWER POINT BÁSICO</t>
  </si>
  <si>
    <t>POWER P. INTERMEDIÁRIO</t>
  </si>
  <si>
    <t>POWER P. AVANÇADO</t>
  </si>
  <si>
    <t>INFORMAÇÃO NA VERTICAL</t>
  </si>
  <si>
    <t>PRODUTO (1 CRITÉRIO)</t>
  </si>
  <si>
    <t>REGIÃO (2 CRITÉRIO)</t>
  </si>
  <si>
    <t>MARCA (3 CRITÉRIO)</t>
  </si>
  <si>
    <t>PROCV(E48:E56;A48:B56;2;0)</t>
  </si>
  <si>
    <t>PROCV(E48:E56;A48:C56;3;0)</t>
  </si>
  <si>
    <t>SE + CRITÉRIOS</t>
  </si>
  <si>
    <t>PRODUTO 1</t>
  </si>
  <si>
    <t>PRODUTO 2</t>
  </si>
  <si>
    <t>PRODUTO 3</t>
  </si>
  <si>
    <t>PRODUTO 4</t>
  </si>
  <si>
    <t>PRODUTO 5</t>
  </si>
  <si>
    <t>PRODUTO 6</t>
  </si>
  <si>
    <t>PRODUTO 7</t>
  </si>
  <si>
    <t>PRODUTO 8</t>
  </si>
  <si>
    <t>PRODUTO 9</t>
  </si>
  <si>
    <t>PRODUTO 10</t>
  </si>
  <si>
    <t>PRODUTO 11</t>
  </si>
  <si>
    <t>PRODUTO 12</t>
  </si>
  <si>
    <t>PRODUTO 13</t>
  </si>
  <si>
    <t>PRODUTO 14</t>
  </si>
  <si>
    <t>PRODUTO 15</t>
  </si>
  <si>
    <t>TABELA 01</t>
  </si>
  <si>
    <t>TABELA 02</t>
  </si>
  <si>
    <t>TABELA 03</t>
  </si>
  <si>
    <t>TABELA ?</t>
  </si>
  <si>
    <t>PRODUTO 16</t>
  </si>
  <si>
    <t>PRODUTO 17</t>
  </si>
  <si>
    <t>PRODUTO 18</t>
  </si>
  <si>
    <t>PRODUTO 19</t>
  </si>
  <si>
    <t>PRODUTO 20</t>
  </si>
  <si>
    <t>PRODUTO 21</t>
  </si>
  <si>
    <t>PRODUTO 22</t>
  </si>
  <si>
    <t>PRODUTO 23</t>
  </si>
  <si>
    <t>PRODUTO 24</t>
  </si>
  <si>
    <t>PRODUTO 25</t>
  </si>
  <si>
    <t>PRODUTO 26</t>
  </si>
  <si>
    <t>PRODUTO 27</t>
  </si>
  <si>
    <t>PRODUTO 28</t>
  </si>
  <si>
    <t>PRODUTO 29</t>
  </si>
  <si>
    <t>PRODUTO 30</t>
  </si>
  <si>
    <t>PRODUTO 31</t>
  </si>
  <si>
    <t>SEERRO(SE($K$56=1;PROCV(J60;$A$60:$B$74;2;0);SE($K$56=2;PROCV(J60;$D$60:$E$74;2;0);SE($K$56=3;PROCV(J60;$G$60:$H$74;2;0))));"")</t>
  </si>
  <si>
    <t>PROCV + SE + SEERRO</t>
  </si>
  <si>
    <t>SEERRO(D78/C78;"SEM PREÇO")</t>
  </si>
  <si>
    <t>PROCX(G87:G95;A87:A95;B87:B95;"NÃO LOCALIZADO")</t>
  </si>
  <si>
    <t>PROCX(G87:G95;A87:A95;C87:C95;"NÃO LOCALIZADO")</t>
  </si>
  <si>
    <t>BRUNO RODRIGUES</t>
  </si>
  <si>
    <t>NYCHOLAS LUIZ</t>
  </si>
  <si>
    <t>DIOGO SANTOS</t>
  </si>
  <si>
    <t>CONT.NÚM</t>
  </si>
  <si>
    <t>H</t>
  </si>
  <si>
    <t>*</t>
  </si>
  <si>
    <t>CONTAR.VAZIO</t>
  </si>
  <si>
    <t>NÚM.CARACT(A208)</t>
  </si>
  <si>
    <t>NÚM.CARACT(SUBSTITUIR(A208;" ";""))</t>
  </si>
  <si>
    <t>Nycholas</t>
  </si>
  <si>
    <t>Joao</t>
  </si>
  <si>
    <t>Maria</t>
  </si>
  <si>
    <t>Fernando</t>
  </si>
  <si>
    <t>Antonio</t>
  </si>
  <si>
    <t>Mateus</t>
  </si>
  <si>
    <t>Ana</t>
  </si>
  <si>
    <t>Gabriela</t>
  </si>
  <si>
    <t>Joaquin</t>
  </si>
  <si>
    <t>TRANCAMENTO APENAS DA COLUNA</t>
  </si>
  <si>
    <t>SEM TRANCAMENTO</t>
  </si>
  <si>
    <t>TRANCAMENTO DA LINHA E COLUNA</t>
  </si>
  <si>
    <t>TRACAMENTO APENAS DA LINHA</t>
  </si>
  <si>
    <t>TRANCAMENTO DE CÉLULAS (TABELA BASE)</t>
  </si>
  <si>
    <t>1 EXEMPLO &amp; (SEM ESPAÇO)</t>
  </si>
  <si>
    <t>2 EXEMPLO &amp; (COM ESPAÇO)</t>
  </si>
  <si>
    <t>CONCAT()</t>
  </si>
  <si>
    <t>NÚMERO</t>
  </si>
  <si>
    <t>MATEUS MAIA</t>
  </si>
  <si>
    <t>PROFISSÃO</t>
  </si>
  <si>
    <t>PROFESSOR</t>
  </si>
  <si>
    <t>ENGENHEIRO</t>
  </si>
  <si>
    <t>ADMINISTRADOR</t>
  </si>
  <si>
    <t>SOBRENOME</t>
  </si>
  <si>
    <t>ARRUMAR + PRI.MAIUSCULA</t>
  </si>
  <si>
    <t>00"."000"."000"/"0000-00</t>
  </si>
  <si>
    <t>formuladoexcell</t>
  </si>
  <si>
    <t>BOM CURSO 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</si>
</sst>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\ * #,##0_-;\-&quot;R$&quot;\ * #,##0_-;_-&quot;R$&quot;\ * &quot;-&quot;??_-;_-@_-"/>
    <numFmt numFmtId="165" formatCode="000&quot;.&quot;000&quot;.&quot;000\-00"/>
    <numFmt numFmtId="166" formatCode="00&quot;.&quot;000&quot;.&quot;000&quot;/&quot;0000\-00"/>
    <numFmt numFmtId="167" formatCode="00&quot;.&quot;000\-000"/>
    <numFmt numFmtId="168" formatCode="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theme="0"/>
      <name val="Montserrat"/>
    </font>
    <font>
      <sz val="11"/>
      <color theme="1"/>
      <name val="Montserrat"/>
    </font>
    <font>
      <sz val="11"/>
      <color rgb="FFFF0000"/>
      <name val="Montserrat"/>
    </font>
    <font>
      <sz val="11"/>
      <color theme="0"/>
      <name val="Montserrat"/>
    </font>
    <font>
      <b/>
      <sz val="11"/>
      <color theme="1"/>
      <name val="Montserrat"/>
    </font>
    <font>
      <b/>
      <sz val="11"/>
      <color rgb="FFFF0000"/>
      <name val="Montserrat"/>
    </font>
    <font>
      <b/>
      <i/>
      <sz val="11"/>
      <color theme="1"/>
      <name val="Montserrat"/>
    </font>
    <font>
      <b/>
      <i/>
      <sz val="11"/>
      <color theme="1"/>
      <name val="Calibri"/>
      <family val="2"/>
      <scheme val="minor"/>
    </font>
    <font>
      <b/>
      <sz val="26"/>
      <color rgb="FF00B050"/>
      <name val="Montserra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4353E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90">
    <xf numFmtId="0" fontId="0" fillId="0" borderId="0" xfId="0"/>
    <xf numFmtId="0" fontId="5" fillId="3" borderId="4" xfId="0" applyFont="1" applyFill="1" applyBorder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44" fontId="5" fillId="0" borderId="0" xfId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5" fillId="3" borderId="1" xfId="0" applyFont="1" applyFill="1" applyBorder="1" applyAlignment="1">
      <alignment horizontal="left"/>
    </xf>
    <xf numFmtId="0" fontId="5" fillId="3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6" fillId="0" borderId="1" xfId="0" applyFont="1" applyBorder="1" applyAlignment="1">
      <alignment horizontal="center"/>
    </xf>
    <xf numFmtId="10" fontId="6" fillId="0" borderId="0" xfId="2" applyNumberFormat="1" applyFont="1" applyFill="1"/>
    <xf numFmtId="3" fontId="8" fillId="0" borderId="0" xfId="0" applyNumberFormat="1" applyFont="1"/>
    <xf numFmtId="43" fontId="8" fillId="0" borderId="0" xfId="3" applyFont="1" applyFill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2" fontId="6" fillId="0" borderId="1" xfId="0" applyNumberFormat="1" applyFont="1" applyBorder="1" applyAlignment="1">
      <alignment horizontal="center"/>
    </xf>
    <xf numFmtId="3" fontId="7" fillId="0" borderId="0" xfId="0" applyNumberFormat="1" applyFont="1"/>
    <xf numFmtId="43" fontId="6" fillId="0" borderId="1" xfId="3" applyFont="1" applyBorder="1" applyAlignment="1">
      <alignment horizontal="center"/>
    </xf>
    <xf numFmtId="43" fontId="6" fillId="0" borderId="1" xfId="3" applyFont="1" applyFill="1" applyBorder="1" applyAlignment="1">
      <alignment horizontal="center"/>
    </xf>
    <xf numFmtId="43" fontId="6" fillId="0" borderId="0" xfId="3" applyFont="1" applyBorder="1" applyAlignment="1">
      <alignment horizontal="center"/>
    </xf>
    <xf numFmtId="0" fontId="6" fillId="0" borderId="1" xfId="0" applyFont="1" applyBorder="1"/>
    <xf numFmtId="44" fontId="6" fillId="0" borderId="1" xfId="1" applyFont="1" applyFill="1" applyBorder="1"/>
    <xf numFmtId="0" fontId="9" fillId="0" borderId="1" xfId="0" applyFont="1" applyBorder="1" applyAlignment="1">
      <alignment horizontal="center"/>
    </xf>
    <xf numFmtId="44" fontId="9" fillId="0" borderId="1" xfId="1" applyFont="1" applyBorder="1"/>
    <xf numFmtId="0" fontId="7" fillId="0" borderId="0" xfId="0" applyFont="1"/>
    <xf numFmtId="0" fontId="9" fillId="0" borderId="5" xfId="0" applyFont="1" applyBorder="1" applyAlignment="1">
      <alignment horizontal="center"/>
    </xf>
    <xf numFmtId="44" fontId="6" fillId="0" borderId="1" xfId="1" applyFont="1" applyBorder="1"/>
    <xf numFmtId="0" fontId="7" fillId="0" borderId="0" xfId="0" applyFont="1" applyAlignment="1">
      <alignment horizontal="left"/>
    </xf>
    <xf numFmtId="0" fontId="6" fillId="0" borderId="0" xfId="0" quotePrefix="1" applyFont="1" applyAlignment="1">
      <alignment horizontal="center"/>
    </xf>
    <xf numFmtId="44" fontId="10" fillId="0" borderId="1" xfId="0" applyNumberFormat="1" applyFont="1" applyBorder="1"/>
    <xf numFmtId="44" fontId="10" fillId="0" borderId="0" xfId="0" applyNumberFormat="1" applyFont="1"/>
    <xf numFmtId="0" fontId="10" fillId="0" borderId="0" xfId="0" applyFont="1" applyAlignment="1">
      <alignment horizontal="center"/>
    </xf>
    <xf numFmtId="44" fontId="7" fillId="0" borderId="0" xfId="0" applyNumberFormat="1" applyFont="1"/>
    <xf numFmtId="44" fontId="6" fillId="0" borderId="0" xfId="1" applyFont="1" applyBorder="1"/>
    <xf numFmtId="44" fontId="6" fillId="0" borderId="1" xfId="1" applyFont="1" applyBorder="1" applyAlignment="1">
      <alignment horizontal="left"/>
    </xf>
    <xf numFmtId="0" fontId="10" fillId="0" borderId="0" xfId="0" applyFont="1"/>
    <xf numFmtId="44" fontId="6" fillId="0" borderId="0" xfId="1" applyFont="1" applyFill="1" applyBorder="1" applyAlignment="1">
      <alignment horizontal="center"/>
    </xf>
    <xf numFmtId="0" fontId="9" fillId="0" borderId="0" xfId="0" applyFont="1" applyAlignment="1">
      <alignment horizontal="left"/>
    </xf>
    <xf numFmtId="44" fontId="7" fillId="0" borderId="0" xfId="1" applyFont="1" applyFill="1" applyBorder="1" applyAlignment="1">
      <alignment horizontal="center"/>
    </xf>
    <xf numFmtId="44" fontId="6" fillId="0" borderId="0" xfId="1" applyFont="1" applyFill="1" applyBorder="1"/>
    <xf numFmtId="0" fontId="6" fillId="0" borderId="1" xfId="0" applyFont="1" applyBorder="1" applyAlignment="1">
      <alignment horizontal="right"/>
    </xf>
    <xf numFmtId="44" fontId="6" fillId="0" borderId="1" xfId="0" applyNumberFormat="1" applyFont="1" applyBorder="1"/>
    <xf numFmtId="44" fontId="11" fillId="0" borderId="0" xfId="1" applyFont="1" applyFill="1" applyBorder="1"/>
    <xf numFmtId="44" fontId="6" fillId="0" borderId="1" xfId="1" applyFont="1" applyBorder="1" applyAlignment="1">
      <alignment horizontal="center"/>
    </xf>
    <xf numFmtId="44" fontId="6" fillId="0" borderId="1" xfId="0" applyNumberFormat="1" applyFont="1" applyBorder="1" applyAlignment="1">
      <alignment horizontal="center"/>
    </xf>
    <xf numFmtId="9" fontId="6" fillId="0" borderId="1" xfId="2" applyFont="1" applyBorder="1" applyAlignment="1">
      <alignment horizontal="center"/>
    </xf>
    <xf numFmtId="0" fontId="9" fillId="2" borderId="0" xfId="0" applyFont="1" applyFill="1"/>
    <xf numFmtId="0" fontId="6" fillId="2" borderId="0" xfId="0" applyFont="1" applyFill="1"/>
    <xf numFmtId="0" fontId="9" fillId="0" borderId="0" xfId="0" applyFont="1" applyAlignment="1">
      <alignment horizontal="center"/>
    </xf>
    <xf numFmtId="9" fontId="6" fillId="0" borderId="0" xfId="0" applyNumberFormat="1" applyFont="1"/>
    <xf numFmtId="0" fontId="6" fillId="0" borderId="1" xfId="0" applyFont="1" applyBorder="1" applyAlignment="1">
      <alignment horizontal="left" indent="4"/>
    </xf>
    <xf numFmtId="0" fontId="6" fillId="0" borderId="1" xfId="0" applyFont="1" applyBorder="1" applyAlignment="1">
      <alignment horizontal="left" indent="2"/>
    </xf>
    <xf numFmtId="0" fontId="9" fillId="0" borderId="1" xfId="0" applyFont="1" applyBorder="1" applyAlignment="1">
      <alignment horizontal="left"/>
    </xf>
    <xf numFmtId="14" fontId="9" fillId="0" borderId="0" xfId="0" applyNumberFormat="1" applyFont="1" applyAlignment="1">
      <alignment horizontal="center"/>
    </xf>
    <xf numFmtId="165" fontId="6" fillId="0" borderId="0" xfId="0" applyNumberFormat="1" applyFont="1"/>
    <xf numFmtId="0" fontId="5" fillId="5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44" fontId="6" fillId="0" borderId="0" xfId="1" applyFont="1" applyBorder="1" applyAlignment="1">
      <alignment horizontal="left"/>
    </xf>
    <xf numFmtId="164" fontId="6" fillId="0" borderId="1" xfId="1" applyNumberFormat="1" applyFont="1" applyBorder="1" applyAlignment="1">
      <alignment horizontal="center"/>
    </xf>
    <xf numFmtId="9" fontId="5" fillId="3" borderId="1" xfId="2" applyFont="1" applyFill="1" applyBorder="1" applyAlignment="1">
      <alignment horizontal="center"/>
    </xf>
    <xf numFmtId="0" fontId="10" fillId="0" borderId="1" xfId="0" applyFont="1" applyBorder="1" applyAlignment="1">
      <alignment horizontal="left"/>
    </xf>
    <xf numFmtId="0" fontId="10" fillId="0" borderId="1" xfId="0" applyFont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166" fontId="6" fillId="0" borderId="0" xfId="0" applyNumberFormat="1" applyFont="1" applyAlignment="1">
      <alignment horizontal="right"/>
    </xf>
    <xf numFmtId="165" fontId="6" fillId="0" borderId="1" xfId="0" applyNumberFormat="1" applyFont="1" applyBorder="1"/>
    <xf numFmtId="167" fontId="6" fillId="0" borderId="1" xfId="0" applyNumberFormat="1" applyFont="1" applyBorder="1"/>
    <xf numFmtId="166" fontId="6" fillId="0" borderId="0" xfId="0" applyNumberFormat="1" applyFont="1"/>
    <xf numFmtId="167" fontId="6" fillId="0" borderId="0" xfId="0" applyNumberFormat="1" applyFont="1"/>
    <xf numFmtId="168" fontId="6" fillId="0" borderId="0" xfId="0" applyNumberFormat="1" applyFont="1"/>
    <xf numFmtId="0" fontId="12" fillId="0" borderId="0" xfId="0" applyFont="1"/>
    <xf numFmtId="0" fontId="13" fillId="0" borderId="0" xfId="0" applyFont="1"/>
    <xf numFmtId="0" fontId="5" fillId="3" borderId="11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44" fontId="9" fillId="0" borderId="4" xfId="1" applyFont="1" applyBorder="1" applyAlignment="1">
      <alignment vertical="center"/>
    </xf>
    <xf numFmtId="44" fontId="9" fillId="0" borderId="2" xfId="1" applyFont="1" applyBorder="1" applyAlignment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44" fontId="9" fillId="0" borderId="4" xfId="1" applyFont="1" applyBorder="1" applyAlignment="1">
      <alignment horizontal="center" vertical="center"/>
    </xf>
    <xf numFmtId="44" fontId="9" fillId="0" borderId="3" xfId="1" applyFont="1" applyBorder="1" applyAlignment="1">
      <alignment horizontal="center" vertical="center"/>
    </xf>
    <xf numFmtId="44" fontId="9" fillId="0" borderId="2" xfId="1" applyFont="1" applyBorder="1" applyAlignment="1">
      <alignment horizontal="center" vertical="center"/>
    </xf>
    <xf numFmtId="44" fontId="5" fillId="0" borderId="0" xfId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40F2AD74-017A-473E-AEDF-030E750FE328}"/>
  </tableStyles>
  <colors>
    <mruColors>
      <color rgb="FF143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Planilha BASE I'!A1"/><Relationship Id="rId5" Type="http://schemas.openxmlformats.org/officeDocument/2006/relationships/image" Target="../media/image4.png"/><Relationship Id="rId4" Type="http://schemas.openxmlformats.org/officeDocument/2006/relationships/image" Target="../media/image3.tm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</xdr:colOff>
      <xdr:row>6</xdr:row>
      <xdr:rowOff>142875</xdr:rowOff>
    </xdr:from>
    <xdr:to>
      <xdr:col>14</xdr:col>
      <xdr:colOff>571501</xdr:colOff>
      <xdr:row>13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83C97C-A33D-E280-D7F6-44FCE6442CFC}"/>
            </a:ext>
          </a:extLst>
        </xdr:cNvPr>
        <xdr:cNvSpPr/>
      </xdr:nvSpPr>
      <xdr:spPr>
        <a:xfrm>
          <a:off x="3048001" y="1285875"/>
          <a:ext cx="6057900" cy="1209675"/>
        </a:xfrm>
        <a:prstGeom prst="roundRect">
          <a:avLst/>
        </a:prstGeom>
        <a:solidFill>
          <a:srgbClr val="14353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>
              <a:latin typeface="Montserrat" panose="00000500000000000000" pitchFamily="2" charset="0"/>
            </a:rPr>
            <a:t>PLANILHA</a:t>
          </a:r>
          <a:r>
            <a:rPr lang="pt-BR" sz="3200" b="1" baseline="0">
              <a:latin typeface="Montserrat" panose="00000500000000000000" pitchFamily="2" charset="0"/>
            </a:rPr>
            <a:t> DE FÓRMULAS</a:t>
          </a:r>
          <a:endParaRPr lang="pt-BR" sz="3200" b="1">
            <a:latin typeface="Montserrat" panose="00000500000000000000" pitchFamily="2" charset="0"/>
          </a:endParaRPr>
        </a:p>
      </xdr:txBody>
    </xdr:sp>
    <xdr:clientData/>
  </xdr:twoCellAnchor>
  <xdr:twoCellAnchor editAs="oneCell">
    <xdr:from>
      <xdr:col>3</xdr:col>
      <xdr:colOff>133350</xdr:colOff>
      <xdr:row>7</xdr:row>
      <xdr:rowOff>57150</xdr:rowOff>
    </xdr:from>
    <xdr:to>
      <xdr:col>4</xdr:col>
      <xdr:colOff>438150</xdr:colOff>
      <xdr:row>12</xdr:row>
      <xdr:rowOff>19050</xdr:rowOff>
    </xdr:to>
    <xdr:pic>
      <xdr:nvPicPr>
        <xdr:cNvPr id="4" name="Gráfico 3" descr="Seta de linha: curva ligeira com preenchimento sólido">
          <a:extLst>
            <a:ext uri="{FF2B5EF4-FFF2-40B4-BE49-F238E27FC236}">
              <a16:creationId xmlns:a16="http://schemas.microsoft.com/office/drawing/2014/main" id="{F031FEA6-5087-E64C-D610-A1A9A5A21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962150" y="1390650"/>
          <a:ext cx="914400" cy="9144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17</xdr:col>
      <xdr:colOff>104775</xdr:colOff>
      <xdr:row>10</xdr:row>
      <xdr:rowOff>85857</xdr:rowOff>
    </xdr:from>
    <xdr:to>
      <xdr:col>18</xdr:col>
      <xdr:colOff>342900</xdr:colOff>
      <xdr:row>14</xdr:row>
      <xdr:rowOff>171582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8CB7632-EC96-BE68-AF21-253296F6B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7975" y="1990857"/>
          <a:ext cx="847725" cy="847725"/>
        </a:xfrm>
        <a:prstGeom prst="rect">
          <a:avLst/>
        </a:prstGeom>
      </xdr:spPr>
    </xdr:pic>
    <xdr:clientData/>
  </xdr:twoCellAnchor>
  <xdr:twoCellAnchor editAs="oneCell">
    <xdr:from>
      <xdr:col>16</xdr:col>
      <xdr:colOff>438149</xdr:colOff>
      <xdr:row>12</xdr:row>
      <xdr:rowOff>66674</xdr:rowOff>
    </xdr:from>
    <xdr:to>
      <xdr:col>17</xdr:col>
      <xdr:colOff>9524</xdr:colOff>
      <xdr:row>13</xdr:row>
      <xdr:rowOff>57149</xdr:rowOff>
    </xdr:to>
    <xdr:pic>
      <xdr:nvPicPr>
        <xdr:cNvPr id="3" name="Imagem 2" descr="Logotipo do instagram - ícones de social grátis">
          <a:extLst>
            <a:ext uri="{FF2B5EF4-FFF2-40B4-BE49-F238E27FC236}">
              <a16:creationId xmlns:a16="http://schemas.microsoft.com/office/drawing/2014/main" id="{7C54FC0A-280B-2D36-C518-9538D56F8F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1749" y="2352674"/>
          <a:ext cx="1809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298173</xdr:colOff>
      <xdr:row>26</xdr:row>
      <xdr:rowOff>66260</xdr:rowOff>
    </xdr:from>
    <xdr:to>
      <xdr:col>6</xdr:col>
      <xdr:colOff>331305</xdr:colOff>
      <xdr:row>26</xdr:row>
      <xdr:rowOff>82826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1EF0390-FF45-4AA1-B661-C5E6F0854F8F}"/>
            </a:ext>
          </a:extLst>
        </xdr:cNvPr>
        <xdr:cNvCxnSpPr/>
      </xdr:nvCxnSpPr>
      <xdr:spPr>
        <a:xfrm flipV="1">
          <a:off x="4414630" y="5019260"/>
          <a:ext cx="5839240" cy="16566"/>
        </a:xfrm>
        <a:prstGeom prst="straightConnector1">
          <a:avLst/>
        </a:prstGeom>
        <a:ln>
          <a:solidFill>
            <a:srgbClr val="FF0000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265458</xdr:colOff>
      <xdr:row>28</xdr:row>
      <xdr:rowOff>108917</xdr:rowOff>
    </xdr:from>
    <xdr:to>
      <xdr:col>11</xdr:col>
      <xdr:colOff>413303</xdr:colOff>
      <xdr:row>28</xdr:row>
      <xdr:rowOff>112229</xdr:rowOff>
    </xdr:to>
    <xdr:cxnSp macro="">
      <xdr:nvCxnSpPr>
        <xdr:cNvPr id="21" name="Conector de Seta Reta 20">
          <a:extLst>
            <a:ext uri="{FF2B5EF4-FFF2-40B4-BE49-F238E27FC236}">
              <a16:creationId xmlns:a16="http://schemas.microsoft.com/office/drawing/2014/main" id="{CC5CFA3E-FB7E-4752-A254-1DDAF99FD7F7}"/>
            </a:ext>
          </a:extLst>
        </xdr:cNvPr>
        <xdr:cNvCxnSpPr/>
      </xdr:nvCxnSpPr>
      <xdr:spPr>
        <a:xfrm flipH="1">
          <a:off x="24973308" y="6509717"/>
          <a:ext cx="147845" cy="3312"/>
        </a:xfrm>
        <a:prstGeom prst="straightConnector1">
          <a:avLst/>
        </a:prstGeom>
        <a:ln>
          <a:solidFill>
            <a:srgbClr val="FF0000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452645</xdr:colOff>
      <xdr:row>33</xdr:row>
      <xdr:rowOff>114715</xdr:rowOff>
    </xdr:from>
    <xdr:to>
      <xdr:col>13</xdr:col>
      <xdr:colOff>66261</xdr:colOff>
      <xdr:row>33</xdr:row>
      <xdr:rowOff>118027</xdr:rowOff>
    </xdr:to>
    <xdr:cxnSp macro="">
      <xdr:nvCxnSpPr>
        <xdr:cNvPr id="24" name="Conector de Seta Reta 23">
          <a:extLst>
            <a:ext uri="{FF2B5EF4-FFF2-40B4-BE49-F238E27FC236}">
              <a16:creationId xmlns:a16="http://schemas.microsoft.com/office/drawing/2014/main" id="{34DEBAA8-7618-4EF2-B902-5BB0F52C3874}"/>
            </a:ext>
          </a:extLst>
        </xdr:cNvPr>
        <xdr:cNvCxnSpPr/>
      </xdr:nvCxnSpPr>
      <xdr:spPr>
        <a:xfrm flipH="1">
          <a:off x="25770095" y="7658515"/>
          <a:ext cx="223216" cy="3312"/>
        </a:xfrm>
        <a:prstGeom prst="straightConnector1">
          <a:avLst/>
        </a:prstGeom>
        <a:ln>
          <a:solidFill>
            <a:srgbClr val="FF0000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99391</xdr:colOff>
      <xdr:row>47</xdr:row>
      <xdr:rowOff>91109</xdr:rowOff>
    </xdr:from>
    <xdr:to>
      <xdr:col>6</xdr:col>
      <xdr:colOff>115957</xdr:colOff>
      <xdr:row>47</xdr:row>
      <xdr:rowOff>91109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90FB0011-BA81-4292-9A6C-1606EEC75FF0}"/>
            </a:ext>
          </a:extLst>
        </xdr:cNvPr>
        <xdr:cNvCxnSpPr/>
      </xdr:nvCxnSpPr>
      <xdr:spPr>
        <a:xfrm>
          <a:off x="8671891" y="8854109"/>
          <a:ext cx="1366631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240197</xdr:colOff>
      <xdr:row>58</xdr:row>
      <xdr:rowOff>91109</xdr:rowOff>
    </xdr:from>
    <xdr:to>
      <xdr:col>3</xdr:col>
      <xdr:colOff>2228023</xdr:colOff>
      <xdr:row>61</xdr:row>
      <xdr:rowOff>182217</xdr:rowOff>
    </xdr:to>
    <xdr:sp macro="" textlink="">
      <xdr:nvSpPr>
        <xdr:cNvPr id="36" name="Seta: para a Direita 35">
          <a:extLst>
            <a:ext uri="{FF2B5EF4-FFF2-40B4-BE49-F238E27FC236}">
              <a16:creationId xmlns:a16="http://schemas.microsoft.com/office/drawing/2014/main" id="{2350B8C4-AC6F-0747-D37E-8580B630ECDB}"/>
            </a:ext>
          </a:extLst>
        </xdr:cNvPr>
        <xdr:cNvSpPr/>
      </xdr:nvSpPr>
      <xdr:spPr>
        <a:xfrm>
          <a:off x="4953001" y="8854109"/>
          <a:ext cx="1987826" cy="662608"/>
        </a:xfrm>
        <a:prstGeom prst="rightArrow">
          <a:avLst/>
        </a:prstGeom>
        <a:solidFill>
          <a:srgbClr val="14353E"/>
        </a:solidFill>
        <a:ln>
          <a:noFill/>
          <a:tailEnd type="triangle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190499</xdr:colOff>
      <xdr:row>63</xdr:row>
      <xdr:rowOff>135835</xdr:rowOff>
    </xdr:from>
    <xdr:to>
      <xdr:col>3</xdr:col>
      <xdr:colOff>2112065</xdr:colOff>
      <xdr:row>67</xdr:row>
      <xdr:rowOff>36443</xdr:rowOff>
    </xdr:to>
    <xdr:sp macro="" textlink="">
      <xdr:nvSpPr>
        <xdr:cNvPr id="37" name="Seta: para a Direita 36">
          <a:extLst>
            <a:ext uri="{FF2B5EF4-FFF2-40B4-BE49-F238E27FC236}">
              <a16:creationId xmlns:a16="http://schemas.microsoft.com/office/drawing/2014/main" id="{01C0E381-CBF8-4766-ADC8-75CA8B0CDEBE}"/>
            </a:ext>
          </a:extLst>
        </xdr:cNvPr>
        <xdr:cNvSpPr/>
      </xdr:nvSpPr>
      <xdr:spPr>
        <a:xfrm flipH="1">
          <a:off x="4903303" y="9851335"/>
          <a:ext cx="1921566" cy="662608"/>
        </a:xfrm>
        <a:prstGeom prst="rightArrow">
          <a:avLst/>
        </a:prstGeom>
        <a:solidFill>
          <a:srgbClr val="14353E"/>
        </a:solidFill>
        <a:ln>
          <a:noFill/>
          <a:tailEnd type="triangle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281610</xdr:colOff>
      <xdr:row>97</xdr:row>
      <xdr:rowOff>182219</xdr:rowOff>
    </xdr:from>
    <xdr:to>
      <xdr:col>3</xdr:col>
      <xdr:colOff>2269436</xdr:colOff>
      <xdr:row>101</xdr:row>
      <xdr:rowOff>82827</xdr:rowOff>
    </xdr:to>
    <xdr:sp macro="" textlink="">
      <xdr:nvSpPr>
        <xdr:cNvPr id="38" name="Seta: para a Direita 37">
          <a:extLst>
            <a:ext uri="{FF2B5EF4-FFF2-40B4-BE49-F238E27FC236}">
              <a16:creationId xmlns:a16="http://schemas.microsoft.com/office/drawing/2014/main" id="{5BA4C121-A8BD-4F92-95AD-41F827D6FEC8}"/>
            </a:ext>
          </a:extLst>
        </xdr:cNvPr>
        <xdr:cNvSpPr/>
      </xdr:nvSpPr>
      <xdr:spPr>
        <a:xfrm>
          <a:off x="5102088" y="11231219"/>
          <a:ext cx="1987826" cy="662608"/>
        </a:xfrm>
        <a:prstGeom prst="rightArrow">
          <a:avLst/>
        </a:prstGeom>
        <a:solidFill>
          <a:srgbClr val="14353E"/>
        </a:solidFill>
        <a:ln>
          <a:noFill/>
          <a:tailEnd type="triangle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231912</xdr:colOff>
      <xdr:row>103</xdr:row>
      <xdr:rowOff>36445</xdr:rowOff>
    </xdr:from>
    <xdr:to>
      <xdr:col>3</xdr:col>
      <xdr:colOff>2153478</xdr:colOff>
      <xdr:row>106</xdr:row>
      <xdr:rowOff>127553</xdr:rowOff>
    </xdr:to>
    <xdr:sp macro="" textlink="">
      <xdr:nvSpPr>
        <xdr:cNvPr id="39" name="Seta: para a Direita 38">
          <a:extLst>
            <a:ext uri="{FF2B5EF4-FFF2-40B4-BE49-F238E27FC236}">
              <a16:creationId xmlns:a16="http://schemas.microsoft.com/office/drawing/2014/main" id="{DEE31175-AEEA-438C-8962-E0C15EB5480F}"/>
            </a:ext>
          </a:extLst>
        </xdr:cNvPr>
        <xdr:cNvSpPr/>
      </xdr:nvSpPr>
      <xdr:spPr>
        <a:xfrm flipH="1">
          <a:off x="5052390" y="12228445"/>
          <a:ext cx="1921566" cy="662608"/>
        </a:xfrm>
        <a:prstGeom prst="rightArrow">
          <a:avLst/>
        </a:prstGeom>
        <a:solidFill>
          <a:srgbClr val="14353E"/>
        </a:solidFill>
        <a:ln>
          <a:noFill/>
          <a:tailEnd type="triangle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381000</xdr:colOff>
      <xdr:row>82</xdr:row>
      <xdr:rowOff>156882</xdr:rowOff>
    </xdr:from>
    <xdr:to>
      <xdr:col>2</xdr:col>
      <xdr:colOff>1826559</xdr:colOff>
      <xdr:row>84</xdr:row>
      <xdr:rowOff>201706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42309923-8671-431B-8B27-B88701916507}"/>
            </a:ext>
          </a:extLst>
        </xdr:cNvPr>
        <xdr:cNvSpPr/>
      </xdr:nvSpPr>
      <xdr:spPr>
        <a:xfrm>
          <a:off x="4056529" y="14276294"/>
          <a:ext cx="1445559" cy="493059"/>
        </a:xfrm>
        <a:prstGeom prst="rightArrow">
          <a:avLst/>
        </a:prstGeom>
        <a:solidFill>
          <a:srgbClr val="14353E"/>
        </a:solidFill>
        <a:ln>
          <a:noFill/>
          <a:tailEnd type="triangle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365311</xdr:colOff>
      <xdr:row>82</xdr:row>
      <xdr:rowOff>208429</xdr:rowOff>
    </xdr:from>
    <xdr:to>
      <xdr:col>5</xdr:col>
      <xdr:colOff>1810870</xdr:colOff>
      <xdr:row>85</xdr:row>
      <xdr:rowOff>29135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F9ACE084-041C-4E26-8B07-2483814461AC}"/>
            </a:ext>
          </a:extLst>
        </xdr:cNvPr>
        <xdr:cNvSpPr/>
      </xdr:nvSpPr>
      <xdr:spPr>
        <a:xfrm>
          <a:off x="10495429" y="14327841"/>
          <a:ext cx="1445559" cy="493059"/>
        </a:xfrm>
        <a:prstGeom prst="rightArrow">
          <a:avLst/>
        </a:prstGeom>
        <a:solidFill>
          <a:srgbClr val="14353E"/>
        </a:solidFill>
        <a:ln>
          <a:noFill/>
          <a:tailEnd type="triangle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634253</xdr:colOff>
      <xdr:row>82</xdr:row>
      <xdr:rowOff>219635</xdr:rowOff>
    </xdr:from>
    <xdr:to>
      <xdr:col>8</xdr:col>
      <xdr:colOff>2079812</xdr:colOff>
      <xdr:row>85</xdr:row>
      <xdr:rowOff>40341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6EAAB2E7-BC55-40FF-AE64-B4D4BE029FF7}"/>
            </a:ext>
          </a:extLst>
        </xdr:cNvPr>
        <xdr:cNvSpPr/>
      </xdr:nvSpPr>
      <xdr:spPr>
        <a:xfrm>
          <a:off x="16221635" y="14339047"/>
          <a:ext cx="1445559" cy="493059"/>
        </a:xfrm>
        <a:prstGeom prst="rightArrow">
          <a:avLst/>
        </a:prstGeom>
        <a:solidFill>
          <a:srgbClr val="FF0000"/>
        </a:solidFill>
        <a:ln>
          <a:noFill/>
          <a:tailEnd type="triangle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0</xdr:colOff>
      <xdr:row>39</xdr:row>
      <xdr:rowOff>0</xdr:rowOff>
    </xdr:from>
    <xdr:to>
      <xdr:col>13</xdr:col>
      <xdr:colOff>223216</xdr:colOff>
      <xdr:row>39</xdr:row>
      <xdr:rowOff>3312</xdr:rowOff>
    </xdr:to>
    <xdr:cxnSp macro="">
      <xdr:nvCxnSpPr>
        <xdr:cNvPr id="6" name="Conector de Seta Reta 5">
          <a:extLst>
            <a:ext uri="{FF2B5EF4-FFF2-40B4-BE49-F238E27FC236}">
              <a16:creationId xmlns:a16="http://schemas.microsoft.com/office/drawing/2014/main" id="{9FC1C92E-7BD8-4B40-AEA1-FEF67DC82D96}"/>
            </a:ext>
          </a:extLst>
        </xdr:cNvPr>
        <xdr:cNvCxnSpPr/>
      </xdr:nvCxnSpPr>
      <xdr:spPr>
        <a:xfrm flipH="1">
          <a:off x="25927050" y="8915400"/>
          <a:ext cx="223216" cy="3312"/>
        </a:xfrm>
        <a:prstGeom prst="straightConnector1">
          <a:avLst/>
        </a:prstGeom>
        <a:ln>
          <a:solidFill>
            <a:srgbClr val="FF0000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1120588</xdr:colOff>
      <xdr:row>0</xdr:row>
      <xdr:rowOff>156883</xdr:rowOff>
    </xdr:from>
    <xdr:to>
      <xdr:col>6</xdr:col>
      <xdr:colOff>862854</xdr:colOff>
      <xdr:row>3</xdr:row>
      <xdr:rowOff>89647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A9AE6-DAF0-46D3-A9A3-87A2CD5FB285}"/>
            </a:ext>
          </a:extLst>
        </xdr:cNvPr>
        <xdr:cNvSpPr/>
      </xdr:nvSpPr>
      <xdr:spPr>
        <a:xfrm>
          <a:off x="12192000" y="156883"/>
          <a:ext cx="1804148" cy="605117"/>
        </a:xfrm>
        <a:prstGeom prst="roundRect">
          <a:avLst/>
        </a:prstGeom>
        <a:solidFill>
          <a:srgbClr val="14353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Montserrat" panose="00000500000000000000" pitchFamily="2" charset="0"/>
            </a:rPr>
            <a:t>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047AC5-F4C7-494D-A1CE-909716F2A1BF}">
  <we:reference id="wa104051163" version="1.2.0.3" store="pt-BR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5012C-CAE1-4219-B0A6-0030FE1595E8}">
  <sheetPr>
    <tabColor rgb="FF14353E"/>
  </sheetPr>
  <dimension ref="I16:R17"/>
  <sheetViews>
    <sheetView showGridLines="0" tabSelected="1" workbookViewId="0">
      <selection activeCell="I12" sqref="I12"/>
    </sheetView>
  </sheetViews>
  <sheetFormatPr defaultRowHeight="15" x14ac:dyDescent="0.25"/>
  <sheetData>
    <row r="16" spans="18:18" x14ac:dyDescent="0.25">
      <c r="R16" s="71" t="s">
        <v>248</v>
      </c>
    </row>
    <row r="17" spans="9:9" ht="39.75" x14ac:dyDescent="0.7">
      <c r="I17" s="72" t="s">
        <v>249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6615D-498A-4BDC-A12D-885E354E9269}">
  <sheetPr codeName="Planilha1">
    <tabColor rgb="FF14353E"/>
  </sheetPr>
  <dimension ref="A1:P271"/>
  <sheetViews>
    <sheetView showGridLines="0" zoomScale="85" zoomScaleNormal="85" workbookViewId="0">
      <selection activeCell="D271" sqref="D271"/>
    </sheetView>
  </sheetViews>
  <sheetFormatPr defaultRowHeight="18" x14ac:dyDescent="0.35"/>
  <cols>
    <col min="1" max="1" width="31.28515625" style="16" customWidth="1"/>
    <col min="2" max="2" width="30.28515625" style="2" customWidth="1"/>
    <col min="3" max="3" width="35.42578125" style="2" customWidth="1"/>
    <col min="4" max="4" width="34.42578125" style="2" customWidth="1"/>
    <col min="5" max="5" width="34.5703125" style="2" customWidth="1"/>
    <col min="6" max="6" width="31" style="2" customWidth="1"/>
    <col min="7" max="7" width="31.5703125" style="2" customWidth="1"/>
    <col min="8" max="8" width="38.140625" style="2" customWidth="1"/>
    <col min="9" max="9" width="43.7109375" style="6" bestFit="1" customWidth="1"/>
    <col min="10" max="10" width="27" style="6" customWidth="1"/>
    <col min="11" max="11" width="33.140625" style="2" customWidth="1"/>
    <col min="12" max="16384" width="9.140625" style="2"/>
  </cols>
  <sheetData>
    <row r="1" spans="1:9" x14ac:dyDescent="0.35">
      <c r="A1" s="1" t="s">
        <v>0</v>
      </c>
      <c r="C1" s="3" t="s">
        <v>135</v>
      </c>
      <c r="F1" s="83"/>
      <c r="G1" s="83"/>
      <c r="H1" s="82"/>
      <c r="I1" s="82"/>
    </row>
    <row r="2" spans="1:9" x14ac:dyDescent="0.35">
      <c r="A2" s="7" t="s">
        <v>5</v>
      </c>
      <c r="B2" s="8" t="s">
        <v>55</v>
      </c>
      <c r="C2" s="8" t="s">
        <v>131</v>
      </c>
      <c r="D2" s="3" t="s">
        <v>141</v>
      </c>
      <c r="F2" s="4"/>
      <c r="G2" s="4"/>
      <c r="H2" s="5"/>
      <c r="I2" s="5"/>
    </row>
    <row r="3" spans="1:9" x14ac:dyDescent="0.35">
      <c r="A3" s="9" t="s">
        <v>128</v>
      </c>
      <c r="B3" s="10" t="str">
        <f>IF(A3="EXCEL BÁSICO","50,00","60,00")</f>
        <v>50,00</v>
      </c>
      <c r="C3" s="10" t="str">
        <f>IF(B3="50,00","PREÇO JUSTO","PREÇO ACIMA")</f>
        <v>PREÇO JUSTO</v>
      </c>
      <c r="D3" s="2" t="s">
        <v>132</v>
      </c>
      <c r="G3" s="11"/>
      <c r="H3" s="12"/>
      <c r="I3" s="13"/>
    </row>
    <row r="4" spans="1:9" x14ac:dyDescent="0.35">
      <c r="A4" s="9" t="s">
        <v>129</v>
      </c>
      <c r="B4" s="10" t="str">
        <f t="shared" ref="B4:B5" si="0">IF(A4="EXCEL BÁSICO","50,00","60,00")</f>
        <v>60,00</v>
      </c>
      <c r="C4" s="10" t="str">
        <f t="shared" ref="C4:C5" si="1">IF(B4="50,00","PREÇO JUSTO","PREÇO ACIMA")</f>
        <v>PREÇO ACIMA</v>
      </c>
      <c r="D4" s="2" t="s">
        <v>133</v>
      </c>
      <c r="G4" s="11"/>
      <c r="H4" s="12"/>
      <c r="I4" s="14"/>
    </row>
    <row r="5" spans="1:9" x14ac:dyDescent="0.35">
      <c r="A5" s="9" t="s">
        <v>130</v>
      </c>
      <c r="B5" s="10" t="str">
        <f t="shared" si="0"/>
        <v>60,00</v>
      </c>
      <c r="C5" s="10" t="str">
        <f t="shared" si="1"/>
        <v>PREÇO ACIMA</v>
      </c>
      <c r="D5" s="2" t="s">
        <v>134</v>
      </c>
      <c r="E5" s="11"/>
      <c r="F5" s="12"/>
      <c r="G5" s="14"/>
      <c r="H5" s="14"/>
      <c r="I5" s="15"/>
    </row>
    <row r="6" spans="1:9" x14ac:dyDescent="0.35">
      <c r="B6" s="6"/>
      <c r="C6" s="6"/>
      <c r="E6" s="11"/>
      <c r="F6" s="12"/>
      <c r="G6" s="14"/>
      <c r="H6" s="14"/>
      <c r="I6" s="15"/>
    </row>
    <row r="7" spans="1:9" x14ac:dyDescent="0.35">
      <c r="A7" s="1" t="s">
        <v>0</v>
      </c>
      <c r="C7" s="3" t="s">
        <v>135</v>
      </c>
      <c r="E7" s="11"/>
      <c r="F7" s="12"/>
      <c r="G7" s="14"/>
      <c r="H7" s="14"/>
      <c r="I7" s="15"/>
    </row>
    <row r="8" spans="1:9" x14ac:dyDescent="0.35">
      <c r="A8" s="7" t="s">
        <v>136</v>
      </c>
      <c r="B8" s="8" t="s">
        <v>62</v>
      </c>
      <c r="C8" s="8" t="s">
        <v>137</v>
      </c>
      <c r="D8" s="3" t="s">
        <v>141</v>
      </c>
      <c r="E8" s="11"/>
      <c r="F8" s="12"/>
      <c r="G8" s="14"/>
      <c r="H8" s="14"/>
      <c r="I8" s="15"/>
    </row>
    <row r="9" spans="1:9" x14ac:dyDescent="0.35">
      <c r="A9" s="9" t="s">
        <v>1</v>
      </c>
      <c r="B9" s="17">
        <v>8</v>
      </c>
      <c r="C9" s="10" t="str">
        <f>IF(B9&gt;=6,"APROVADO","REPROVADO")</f>
        <v>APROVADO</v>
      </c>
      <c r="D9" s="2" t="s">
        <v>138</v>
      </c>
      <c r="E9" s="11"/>
      <c r="F9" s="12"/>
      <c r="G9" s="14"/>
      <c r="H9" s="14"/>
      <c r="I9" s="15"/>
    </row>
    <row r="10" spans="1:9" x14ac:dyDescent="0.35">
      <c r="A10" s="9" t="s">
        <v>123</v>
      </c>
      <c r="B10" s="17">
        <v>6</v>
      </c>
      <c r="C10" s="10" t="str">
        <f t="shared" ref="C10:C11" si="2">IF(B10&gt;=6,"APROVADO","REPROVADO")</f>
        <v>APROVADO</v>
      </c>
      <c r="D10" s="2" t="s">
        <v>139</v>
      </c>
      <c r="E10" s="11"/>
      <c r="F10" s="12"/>
      <c r="G10" s="14"/>
      <c r="H10" s="14"/>
      <c r="I10" s="15"/>
    </row>
    <row r="11" spans="1:9" x14ac:dyDescent="0.35">
      <c r="A11" s="9" t="s">
        <v>26</v>
      </c>
      <c r="B11" s="17">
        <v>5</v>
      </c>
      <c r="C11" s="10" t="str">
        <f t="shared" si="2"/>
        <v>REPROVADO</v>
      </c>
      <c r="D11" s="2" t="s">
        <v>140</v>
      </c>
      <c r="E11" s="11"/>
      <c r="F11" s="12"/>
      <c r="G11" s="14"/>
      <c r="H11" s="14"/>
      <c r="I11" s="15"/>
    </row>
    <row r="12" spans="1:9" x14ac:dyDescent="0.35">
      <c r="B12" s="6"/>
      <c r="C12" s="6"/>
      <c r="E12" s="11"/>
      <c r="F12" s="12"/>
      <c r="G12" s="14"/>
      <c r="H12" s="14"/>
      <c r="I12" s="15"/>
    </row>
    <row r="13" spans="1:9" x14ac:dyDescent="0.35">
      <c r="A13" s="7" t="s">
        <v>172</v>
      </c>
      <c r="C13" s="3" t="s">
        <v>135</v>
      </c>
      <c r="E13" s="11"/>
      <c r="F13" s="12"/>
      <c r="G13" s="14"/>
      <c r="H13" s="14"/>
      <c r="I13" s="15"/>
    </row>
    <row r="14" spans="1:9" x14ac:dyDescent="0.35">
      <c r="A14" s="7" t="s">
        <v>136</v>
      </c>
      <c r="B14" s="8" t="s">
        <v>62</v>
      </c>
      <c r="C14" s="8" t="s">
        <v>143</v>
      </c>
      <c r="D14" s="3" t="s">
        <v>141</v>
      </c>
      <c r="E14" s="11"/>
      <c r="F14" s="12"/>
      <c r="G14" s="14"/>
      <c r="H14" s="14"/>
      <c r="I14" s="15"/>
    </row>
    <row r="15" spans="1:9" x14ac:dyDescent="0.35">
      <c r="A15" s="9" t="s">
        <v>1</v>
      </c>
      <c r="B15" s="17">
        <v>8</v>
      </c>
      <c r="C15" s="10" t="str">
        <f>IF(B15&gt;=8,"ÓTIMO",IF(B15&gt;=6,"BOM",IF(B15&gt;=0,"PÉSSIMO")))</f>
        <v>ÓTIMO</v>
      </c>
      <c r="D15" s="2" t="s">
        <v>144</v>
      </c>
      <c r="E15" s="11"/>
      <c r="F15" s="12"/>
      <c r="G15" s="14"/>
      <c r="H15" s="14"/>
      <c r="I15" s="15"/>
    </row>
    <row r="16" spans="1:9" x14ac:dyDescent="0.35">
      <c r="A16" s="9" t="s">
        <v>123</v>
      </c>
      <c r="B16" s="17">
        <v>6</v>
      </c>
      <c r="C16" s="10" t="str">
        <f t="shared" ref="C16:C20" si="3">IF(B16&gt;=8,"ÓTIMO",IF(B16&gt;=6,"BOM",IF(B16&gt;=0,"PÉSSIMO")))</f>
        <v>BOM</v>
      </c>
      <c r="D16" s="2" t="s">
        <v>145</v>
      </c>
      <c r="E16" s="11"/>
      <c r="F16" s="12"/>
      <c r="G16" s="14"/>
      <c r="H16" s="14"/>
      <c r="I16" s="15"/>
    </row>
    <row r="17" spans="1:11" x14ac:dyDescent="0.35">
      <c r="A17" s="9" t="s">
        <v>26</v>
      </c>
      <c r="B17" s="17">
        <v>5</v>
      </c>
      <c r="C17" s="10" t="str">
        <f t="shared" si="3"/>
        <v>PÉSSIMO</v>
      </c>
      <c r="D17" s="2" t="s">
        <v>146</v>
      </c>
      <c r="E17" s="11"/>
      <c r="F17" s="12"/>
      <c r="G17" s="14"/>
      <c r="H17" s="14"/>
      <c r="I17" s="15"/>
    </row>
    <row r="18" spans="1:11" x14ac:dyDescent="0.35">
      <c r="A18" s="9" t="s">
        <v>28</v>
      </c>
      <c r="B18" s="17">
        <v>10</v>
      </c>
      <c r="C18" s="10" t="str">
        <f t="shared" si="3"/>
        <v>ÓTIMO</v>
      </c>
      <c r="D18" s="2" t="s">
        <v>147</v>
      </c>
      <c r="E18" s="11"/>
      <c r="F18" s="12"/>
      <c r="G18" s="14"/>
      <c r="H18" s="14"/>
      <c r="I18" s="15"/>
    </row>
    <row r="19" spans="1:11" x14ac:dyDescent="0.35">
      <c r="A19" s="9" t="s">
        <v>142</v>
      </c>
      <c r="B19" s="17">
        <v>3</v>
      </c>
      <c r="C19" s="10" t="str">
        <f t="shared" si="3"/>
        <v>PÉSSIMO</v>
      </c>
      <c r="D19" s="2" t="s">
        <v>148</v>
      </c>
      <c r="E19" s="11"/>
      <c r="F19" s="12"/>
      <c r="G19" s="14"/>
      <c r="H19" s="14"/>
      <c r="I19" s="15"/>
    </row>
    <row r="20" spans="1:11" x14ac:dyDescent="0.35">
      <c r="A20" s="9" t="s">
        <v>73</v>
      </c>
      <c r="B20" s="17">
        <v>9</v>
      </c>
      <c r="C20" s="10" t="str">
        <f t="shared" si="3"/>
        <v>ÓTIMO</v>
      </c>
      <c r="D20" s="2" t="s">
        <v>149</v>
      </c>
      <c r="E20" s="11"/>
      <c r="F20" s="12"/>
      <c r="G20" s="14"/>
      <c r="H20" s="14"/>
      <c r="I20" s="15"/>
    </row>
    <row r="21" spans="1:11" x14ac:dyDescent="0.35">
      <c r="B21" s="6"/>
      <c r="F21" s="18"/>
      <c r="G21" s="15"/>
      <c r="H21" s="14"/>
      <c r="I21" s="15"/>
    </row>
    <row r="22" spans="1:11" x14ac:dyDescent="0.35">
      <c r="A22" s="7" t="s">
        <v>5</v>
      </c>
      <c r="B22" s="8" t="s">
        <v>55</v>
      </c>
      <c r="C22" s="8" t="s">
        <v>32</v>
      </c>
      <c r="F22" s="14"/>
      <c r="G22" s="14"/>
      <c r="H22" s="14"/>
      <c r="I22" s="15"/>
    </row>
    <row r="23" spans="1:11" x14ac:dyDescent="0.35">
      <c r="A23" s="9" t="s">
        <v>128</v>
      </c>
      <c r="B23" s="19">
        <v>40</v>
      </c>
      <c r="C23" s="19" t="str">
        <f>IF(B23&gt;=50,"COMPRA DE VALOR ALTO","COMPRA DE VALOR BAIXO")</f>
        <v>COMPRA DE VALOR BAIXO</v>
      </c>
      <c r="D23" s="2" t="s">
        <v>150</v>
      </c>
    </row>
    <row r="24" spans="1:11" x14ac:dyDescent="0.35">
      <c r="A24" s="9" t="s">
        <v>129</v>
      </c>
      <c r="B24" s="20">
        <v>60</v>
      </c>
      <c r="C24" s="19" t="str">
        <f t="shared" ref="C24:C25" si="4">IF(B24&gt;=50,"COMPRA DE VALOR ALTO","COMPRA DE VALOR BAIXO")</f>
        <v>COMPRA DE VALOR ALTO</v>
      </c>
      <c r="D24" s="2" t="s">
        <v>151</v>
      </c>
    </row>
    <row r="25" spans="1:11" x14ac:dyDescent="0.35">
      <c r="A25" s="9" t="s">
        <v>130</v>
      </c>
      <c r="B25" s="19">
        <v>70</v>
      </c>
      <c r="C25" s="19" t="str">
        <f t="shared" si="4"/>
        <v>COMPRA DE VALOR ALTO</v>
      </c>
      <c r="D25" s="2" t="s">
        <v>152</v>
      </c>
    </row>
    <row r="26" spans="1:11" x14ac:dyDescent="0.35">
      <c r="B26" s="21"/>
      <c r="C26" s="21"/>
    </row>
    <row r="27" spans="1:11" x14ac:dyDescent="0.35">
      <c r="A27" s="7" t="s">
        <v>30</v>
      </c>
      <c r="C27" s="3" t="s">
        <v>153</v>
      </c>
    </row>
    <row r="28" spans="1:11" x14ac:dyDescent="0.35">
      <c r="A28" s="7" t="s">
        <v>167</v>
      </c>
      <c r="B28" s="8" t="s">
        <v>168</v>
      </c>
      <c r="C28" s="8" t="s">
        <v>169</v>
      </c>
      <c r="D28" s="8" t="s">
        <v>21</v>
      </c>
      <c r="E28" s="8" t="s">
        <v>22</v>
      </c>
      <c r="F28" s="8" t="s">
        <v>19</v>
      </c>
      <c r="G28" s="3"/>
      <c r="I28" s="8" t="s">
        <v>5</v>
      </c>
      <c r="J28" s="8" t="s">
        <v>116</v>
      </c>
      <c r="K28" s="3" t="s">
        <v>141</v>
      </c>
    </row>
    <row r="29" spans="1:11" x14ac:dyDescent="0.35">
      <c r="A29" s="9" t="s">
        <v>128</v>
      </c>
      <c r="B29" s="22" t="s">
        <v>12</v>
      </c>
      <c r="C29" s="10" t="s">
        <v>63</v>
      </c>
      <c r="D29" s="23">
        <v>450</v>
      </c>
      <c r="E29" s="22">
        <v>15</v>
      </c>
      <c r="F29" s="23">
        <f t="shared" ref="F29:F43" si="5">D29*E29</f>
        <v>6750</v>
      </c>
      <c r="G29" s="6"/>
      <c r="H29" s="8" t="s">
        <v>117</v>
      </c>
      <c r="I29" s="24" t="s">
        <v>128</v>
      </c>
      <c r="J29" s="25">
        <f>SUMIFS(F29:F43,A29:A43,I29)</f>
        <v>21150</v>
      </c>
      <c r="K29" s="26" t="s">
        <v>156</v>
      </c>
    </row>
    <row r="30" spans="1:11" x14ac:dyDescent="0.35">
      <c r="A30" s="9" t="s">
        <v>129</v>
      </c>
      <c r="B30" s="22" t="s">
        <v>13</v>
      </c>
      <c r="C30" s="10" t="s">
        <v>64</v>
      </c>
      <c r="D30" s="23">
        <v>500</v>
      </c>
      <c r="E30" s="22">
        <v>25</v>
      </c>
      <c r="F30" s="23">
        <f t="shared" si="5"/>
        <v>12500</v>
      </c>
      <c r="G30" s="6"/>
      <c r="H30" s="6"/>
    </row>
    <row r="31" spans="1:11" x14ac:dyDescent="0.35">
      <c r="A31" s="9" t="s">
        <v>130</v>
      </c>
      <c r="B31" s="22" t="s">
        <v>13</v>
      </c>
      <c r="C31" s="10" t="s">
        <v>63</v>
      </c>
      <c r="D31" s="23">
        <v>550</v>
      </c>
      <c r="E31" s="22">
        <v>18</v>
      </c>
      <c r="F31" s="23">
        <f t="shared" si="5"/>
        <v>9900</v>
      </c>
      <c r="G31" s="6"/>
      <c r="H31" s="6"/>
    </row>
    <row r="32" spans="1:11" x14ac:dyDescent="0.35">
      <c r="A32" s="9" t="s">
        <v>128</v>
      </c>
      <c r="B32" s="22" t="s">
        <v>13</v>
      </c>
      <c r="C32" s="10" t="s">
        <v>64</v>
      </c>
      <c r="D32" s="23">
        <v>450</v>
      </c>
      <c r="E32" s="22">
        <v>2</v>
      </c>
      <c r="F32" s="23">
        <f t="shared" si="5"/>
        <v>900</v>
      </c>
      <c r="G32" s="6"/>
      <c r="I32" s="8" t="s">
        <v>154</v>
      </c>
      <c r="J32" s="8" t="s">
        <v>116</v>
      </c>
    </row>
    <row r="33" spans="1:12" x14ac:dyDescent="0.35">
      <c r="A33" s="9" t="s">
        <v>129</v>
      </c>
      <c r="B33" s="22" t="s">
        <v>12</v>
      </c>
      <c r="C33" s="10" t="s">
        <v>63</v>
      </c>
      <c r="D33" s="23">
        <v>500</v>
      </c>
      <c r="E33" s="22">
        <v>3</v>
      </c>
      <c r="F33" s="23">
        <f t="shared" si="5"/>
        <v>1500</v>
      </c>
      <c r="G33" s="6"/>
      <c r="H33" s="77" t="s">
        <v>118</v>
      </c>
      <c r="I33" s="27" t="s">
        <v>128</v>
      </c>
      <c r="J33" s="75">
        <f>SUMIFS(F29:F43,A29:A43,I33,B29:B43,I34)</f>
        <v>9450</v>
      </c>
      <c r="K33" s="3" t="s">
        <v>141</v>
      </c>
    </row>
    <row r="34" spans="1:12" x14ac:dyDescent="0.35">
      <c r="A34" s="9" t="s">
        <v>130</v>
      </c>
      <c r="B34" s="22" t="s">
        <v>12</v>
      </c>
      <c r="C34" s="10" t="s">
        <v>64</v>
      </c>
      <c r="D34" s="23">
        <v>550</v>
      </c>
      <c r="E34" s="22">
        <v>5</v>
      </c>
      <c r="F34" s="28">
        <f t="shared" si="5"/>
        <v>2750</v>
      </c>
      <c r="G34" s="6"/>
      <c r="H34" s="78"/>
      <c r="I34" s="27" t="s">
        <v>12</v>
      </c>
      <c r="J34" s="76"/>
      <c r="K34" s="29" t="s">
        <v>155</v>
      </c>
    </row>
    <row r="35" spans="1:12" x14ac:dyDescent="0.35">
      <c r="A35" s="9" t="s">
        <v>128</v>
      </c>
      <c r="B35" s="22" t="s">
        <v>14</v>
      </c>
      <c r="C35" s="10" t="s">
        <v>63</v>
      </c>
      <c r="D35" s="28">
        <v>450</v>
      </c>
      <c r="E35" s="22">
        <v>9</v>
      </c>
      <c r="F35" s="28">
        <f t="shared" si="5"/>
        <v>4050</v>
      </c>
      <c r="G35" s="6"/>
    </row>
    <row r="36" spans="1:12" x14ac:dyDescent="0.35">
      <c r="A36" s="9" t="s">
        <v>129</v>
      </c>
      <c r="B36" s="22" t="s">
        <v>13</v>
      </c>
      <c r="C36" s="10" t="s">
        <v>64</v>
      </c>
      <c r="D36" s="28">
        <v>500</v>
      </c>
      <c r="E36" s="22">
        <v>11</v>
      </c>
      <c r="F36" s="28">
        <f t="shared" si="5"/>
        <v>5500</v>
      </c>
      <c r="G36" s="30"/>
    </row>
    <row r="37" spans="1:12" x14ac:dyDescent="0.35">
      <c r="A37" s="9" t="s">
        <v>130</v>
      </c>
      <c r="B37" s="22" t="s">
        <v>13</v>
      </c>
      <c r="C37" s="10" t="s">
        <v>64</v>
      </c>
      <c r="D37" s="23">
        <v>550</v>
      </c>
      <c r="E37" s="22">
        <v>12</v>
      </c>
      <c r="F37" s="28">
        <f t="shared" si="5"/>
        <v>6600</v>
      </c>
      <c r="G37" s="6"/>
      <c r="I37" s="8" t="s">
        <v>157</v>
      </c>
      <c r="J37" s="8" t="s">
        <v>116</v>
      </c>
    </row>
    <row r="38" spans="1:12" x14ac:dyDescent="0.35">
      <c r="A38" s="9" t="s">
        <v>128</v>
      </c>
      <c r="B38" s="22" t="s">
        <v>13</v>
      </c>
      <c r="C38" s="10" t="s">
        <v>63</v>
      </c>
      <c r="D38" s="28">
        <v>450</v>
      </c>
      <c r="E38" s="22">
        <v>15</v>
      </c>
      <c r="F38" s="28">
        <f t="shared" si="5"/>
        <v>6750</v>
      </c>
      <c r="G38" s="6"/>
      <c r="H38" s="77" t="s">
        <v>119</v>
      </c>
      <c r="I38" s="27" t="s">
        <v>128</v>
      </c>
      <c r="J38" s="79">
        <f>SUMIFS(F29:F43,A29:A43,I38,B29:B43,I39,C29:C43,I40)</f>
        <v>6750</v>
      </c>
    </row>
    <row r="39" spans="1:12" x14ac:dyDescent="0.35">
      <c r="A39" s="9" t="s">
        <v>129</v>
      </c>
      <c r="B39" s="22" t="s">
        <v>12</v>
      </c>
      <c r="C39" s="10" t="s">
        <v>64</v>
      </c>
      <c r="D39" s="28">
        <v>500</v>
      </c>
      <c r="E39" s="22">
        <v>12</v>
      </c>
      <c r="F39" s="28">
        <f t="shared" si="5"/>
        <v>6000</v>
      </c>
      <c r="G39" s="6"/>
      <c r="H39" s="78"/>
      <c r="I39" s="27" t="s">
        <v>12</v>
      </c>
      <c r="J39" s="80"/>
      <c r="K39" s="3" t="s">
        <v>141</v>
      </c>
    </row>
    <row r="40" spans="1:12" x14ac:dyDescent="0.35">
      <c r="A40" s="9" t="s">
        <v>130</v>
      </c>
      <c r="B40" s="22" t="s">
        <v>12</v>
      </c>
      <c r="C40" s="10" t="s">
        <v>63</v>
      </c>
      <c r="D40" s="23">
        <v>550</v>
      </c>
      <c r="E40" s="22">
        <v>5</v>
      </c>
      <c r="F40" s="28">
        <f t="shared" si="5"/>
        <v>2750</v>
      </c>
      <c r="G40" s="6"/>
      <c r="H40" s="78"/>
      <c r="I40" s="27" t="s">
        <v>63</v>
      </c>
      <c r="J40" s="81"/>
      <c r="K40" s="3" t="s">
        <v>158</v>
      </c>
    </row>
    <row r="41" spans="1:12" x14ac:dyDescent="0.35">
      <c r="A41" s="9" t="s">
        <v>128</v>
      </c>
      <c r="B41" s="22" t="s">
        <v>12</v>
      </c>
      <c r="C41" s="10" t="s">
        <v>64</v>
      </c>
      <c r="D41" s="28">
        <v>450</v>
      </c>
      <c r="E41" s="22">
        <v>6</v>
      </c>
      <c r="F41" s="28">
        <f t="shared" si="5"/>
        <v>2700</v>
      </c>
      <c r="G41" s="6"/>
    </row>
    <row r="42" spans="1:12" x14ac:dyDescent="0.35">
      <c r="A42" s="9" t="s">
        <v>129</v>
      </c>
      <c r="B42" s="22" t="s">
        <v>12</v>
      </c>
      <c r="C42" s="10" t="s">
        <v>63</v>
      </c>
      <c r="D42" s="28">
        <v>500</v>
      </c>
      <c r="E42" s="22">
        <v>7</v>
      </c>
      <c r="F42" s="28">
        <f t="shared" si="5"/>
        <v>3500</v>
      </c>
      <c r="G42" s="6"/>
      <c r="L42" s="4"/>
    </row>
    <row r="43" spans="1:12" x14ac:dyDescent="0.35">
      <c r="A43" s="9" t="s">
        <v>130</v>
      </c>
      <c r="B43" s="22" t="s">
        <v>13</v>
      </c>
      <c r="C43" s="10" t="s">
        <v>64</v>
      </c>
      <c r="D43" s="23">
        <v>550</v>
      </c>
      <c r="E43" s="22">
        <v>9</v>
      </c>
      <c r="F43" s="28">
        <f t="shared" si="5"/>
        <v>4950</v>
      </c>
      <c r="G43" s="6"/>
      <c r="L43" s="6"/>
    </row>
    <row r="44" spans="1:12" x14ac:dyDescent="0.35">
      <c r="F44" s="31">
        <f>SUM(F29:F43)</f>
        <v>77100</v>
      </c>
    </row>
    <row r="45" spans="1:12" x14ac:dyDescent="0.35">
      <c r="F45" s="32"/>
    </row>
    <row r="46" spans="1:12" x14ac:dyDescent="0.35">
      <c r="A46" s="7" t="s">
        <v>23</v>
      </c>
      <c r="B46" s="37"/>
      <c r="C46" s="3" t="s">
        <v>159</v>
      </c>
      <c r="J46" s="38"/>
    </row>
    <row r="47" spans="1:12" x14ac:dyDescent="0.35">
      <c r="A47" s="7" t="s">
        <v>5</v>
      </c>
      <c r="B47" s="8" t="s">
        <v>54</v>
      </c>
      <c r="C47" s="8" t="s">
        <v>21</v>
      </c>
      <c r="D47" s="8" t="s">
        <v>22</v>
      </c>
      <c r="E47" s="8" t="s">
        <v>19</v>
      </c>
      <c r="I47" s="8" t="s">
        <v>5</v>
      </c>
      <c r="J47" s="8" t="s">
        <v>116</v>
      </c>
    </row>
    <row r="48" spans="1:12" x14ac:dyDescent="0.35">
      <c r="A48" s="9" t="s">
        <v>128</v>
      </c>
      <c r="B48" s="22" t="s">
        <v>13</v>
      </c>
      <c r="C48" s="23">
        <v>1.25</v>
      </c>
      <c r="D48" s="22">
        <v>15</v>
      </c>
      <c r="E48" s="23">
        <f t="shared" ref="E48:E55" si="6">C48*D48</f>
        <v>18.75</v>
      </c>
      <c r="G48" s="4"/>
      <c r="H48" s="8" t="s">
        <v>117</v>
      </c>
      <c r="I48" s="24" t="s">
        <v>128</v>
      </c>
      <c r="J48" s="25">
        <f>SUMIF(A48:A55,I48,E48:E55)</f>
        <v>24.73</v>
      </c>
      <c r="K48" s="38"/>
    </row>
    <row r="49" spans="1:10" x14ac:dyDescent="0.35">
      <c r="A49" s="9" t="s">
        <v>129</v>
      </c>
      <c r="B49" s="22" t="s">
        <v>13</v>
      </c>
      <c r="C49" s="23">
        <v>1.1499999999999999</v>
      </c>
      <c r="D49" s="22">
        <v>25</v>
      </c>
      <c r="E49" s="23">
        <f t="shared" si="6"/>
        <v>28.749999999999996</v>
      </c>
      <c r="H49" s="6"/>
      <c r="I49" s="39"/>
      <c r="J49" s="2"/>
    </row>
    <row r="50" spans="1:10" x14ac:dyDescent="0.35">
      <c r="A50" s="9" t="s">
        <v>130</v>
      </c>
      <c r="B50" s="22" t="s">
        <v>13</v>
      </c>
      <c r="C50" s="23">
        <v>2.25</v>
      </c>
      <c r="D50" s="22">
        <v>18</v>
      </c>
      <c r="E50" s="23">
        <f t="shared" si="6"/>
        <v>40.5</v>
      </c>
      <c r="H50" s="6"/>
      <c r="I50" s="2"/>
    </row>
    <row r="51" spans="1:10" x14ac:dyDescent="0.35">
      <c r="A51" s="9" t="s">
        <v>128</v>
      </c>
      <c r="B51" s="22" t="s">
        <v>13</v>
      </c>
      <c r="C51" s="23">
        <v>2.99</v>
      </c>
      <c r="D51" s="22">
        <v>2</v>
      </c>
      <c r="E51" s="23">
        <f t="shared" si="6"/>
        <v>5.98</v>
      </c>
      <c r="G51" s="4"/>
    </row>
    <row r="52" spans="1:10" x14ac:dyDescent="0.35">
      <c r="A52" s="9" t="s">
        <v>129</v>
      </c>
      <c r="B52" s="22" t="s">
        <v>12</v>
      </c>
      <c r="C52" s="23">
        <v>1.25</v>
      </c>
      <c r="D52" s="22">
        <v>3</v>
      </c>
      <c r="E52" s="23">
        <f t="shared" si="6"/>
        <v>3.75</v>
      </c>
      <c r="H52" s="4"/>
    </row>
    <row r="53" spans="1:10" x14ac:dyDescent="0.35">
      <c r="A53" s="9" t="s">
        <v>130</v>
      </c>
      <c r="B53" s="22" t="s">
        <v>12</v>
      </c>
      <c r="C53" s="23">
        <v>1.1499999999999999</v>
      </c>
      <c r="D53" s="22">
        <v>5</v>
      </c>
      <c r="E53" s="23">
        <f t="shared" si="6"/>
        <v>5.75</v>
      </c>
      <c r="H53" s="40"/>
    </row>
    <row r="54" spans="1:10" x14ac:dyDescent="0.35">
      <c r="A54" s="9" t="s">
        <v>129</v>
      </c>
      <c r="B54" s="22" t="s">
        <v>12</v>
      </c>
      <c r="C54" s="23">
        <v>2.25</v>
      </c>
      <c r="D54" s="22">
        <v>9</v>
      </c>
      <c r="E54" s="23">
        <f t="shared" si="6"/>
        <v>20.25</v>
      </c>
      <c r="H54" s="38"/>
    </row>
    <row r="55" spans="1:10" x14ac:dyDescent="0.35">
      <c r="A55" s="9" t="s">
        <v>130</v>
      </c>
      <c r="B55" s="22" t="s">
        <v>12</v>
      </c>
      <c r="C55" s="23">
        <v>2.99</v>
      </c>
      <c r="D55" s="22">
        <v>11</v>
      </c>
      <c r="E55" s="23">
        <f t="shared" si="6"/>
        <v>32.89</v>
      </c>
      <c r="H55" s="38"/>
    </row>
    <row r="56" spans="1:10" x14ac:dyDescent="0.35">
      <c r="C56" s="41"/>
      <c r="E56" s="31">
        <f>SUM(E48:E55)</f>
        <v>156.62</v>
      </c>
      <c r="H56" s="40"/>
    </row>
    <row r="57" spans="1:10" x14ac:dyDescent="0.35">
      <c r="F57" s="32"/>
    </row>
    <row r="58" spans="1:10" x14ac:dyDescent="0.35">
      <c r="A58" s="8" t="s">
        <v>9</v>
      </c>
      <c r="B58" s="3" t="s">
        <v>96</v>
      </c>
      <c r="C58" s="3" t="s">
        <v>166</v>
      </c>
      <c r="E58" s="33" t="s">
        <v>97</v>
      </c>
      <c r="F58" s="34"/>
    </row>
    <row r="59" spans="1:10" x14ac:dyDescent="0.35">
      <c r="A59" s="8" t="s">
        <v>51</v>
      </c>
      <c r="B59" s="8" t="s">
        <v>5</v>
      </c>
      <c r="C59" s="8" t="s">
        <v>55</v>
      </c>
      <c r="E59" s="7" t="s">
        <v>51</v>
      </c>
      <c r="F59" s="8" t="s">
        <v>5</v>
      </c>
      <c r="G59" s="8" t="s">
        <v>55</v>
      </c>
      <c r="H59" s="3" t="s">
        <v>141</v>
      </c>
      <c r="I59" s="3" t="s">
        <v>141</v>
      </c>
    </row>
    <row r="60" spans="1:10" x14ac:dyDescent="0.35">
      <c r="A60" s="10">
        <v>1</v>
      </c>
      <c r="B60" s="9" t="s">
        <v>128</v>
      </c>
      <c r="C60" s="28">
        <v>450</v>
      </c>
      <c r="E60" s="10">
        <v>1</v>
      </c>
      <c r="F60" s="9" t="str" cm="1">
        <f t="array" ref="F60:F68">VLOOKUP(E60:E68,A60:B68,2,0)</f>
        <v>EXCEL BÁSICO</v>
      </c>
      <c r="G60" s="28" cm="1">
        <f t="array" ref="G60:G68">VLOOKUP(E60:E68,A60:C68,3,0)</f>
        <v>450</v>
      </c>
      <c r="H60" s="3" t="s">
        <v>170</v>
      </c>
      <c r="I60" s="3" t="s">
        <v>171</v>
      </c>
    </row>
    <row r="61" spans="1:10" x14ac:dyDescent="0.35">
      <c r="A61" s="10">
        <v>2</v>
      </c>
      <c r="B61" s="9" t="s">
        <v>129</v>
      </c>
      <c r="C61" s="28">
        <v>500</v>
      </c>
      <c r="E61" s="10">
        <v>2</v>
      </c>
      <c r="F61" s="9" t="str">
        <v>EXCEL INTERMEDIÁRIO</v>
      </c>
      <c r="G61" s="28">
        <v>500</v>
      </c>
    </row>
    <row r="62" spans="1:10" x14ac:dyDescent="0.35">
      <c r="A62" s="10">
        <v>3</v>
      </c>
      <c r="B62" s="9" t="s">
        <v>130</v>
      </c>
      <c r="C62" s="28">
        <v>550</v>
      </c>
      <c r="E62" s="10">
        <v>3</v>
      </c>
      <c r="F62" s="9" t="str">
        <v>EXCEL AVANÇADO</v>
      </c>
      <c r="G62" s="28">
        <v>550</v>
      </c>
    </row>
    <row r="63" spans="1:10" x14ac:dyDescent="0.35">
      <c r="A63" s="10">
        <v>4</v>
      </c>
      <c r="B63" s="9" t="s">
        <v>160</v>
      </c>
      <c r="C63" s="28">
        <v>350</v>
      </c>
      <c r="E63" s="10">
        <v>4</v>
      </c>
      <c r="F63" s="9" t="str">
        <v>WORD BÁSICO</v>
      </c>
      <c r="G63" s="28">
        <v>350</v>
      </c>
    </row>
    <row r="64" spans="1:10" x14ac:dyDescent="0.35">
      <c r="A64" s="10">
        <v>5</v>
      </c>
      <c r="B64" s="9" t="s">
        <v>161</v>
      </c>
      <c r="C64" s="28">
        <v>400</v>
      </c>
      <c r="E64" s="10">
        <v>5</v>
      </c>
      <c r="F64" s="9" t="str">
        <v>WORD INTERMEDIÁRIO</v>
      </c>
      <c r="G64" s="28">
        <v>400</v>
      </c>
    </row>
    <row r="65" spans="1:16" x14ac:dyDescent="0.35">
      <c r="A65" s="10">
        <v>6</v>
      </c>
      <c r="B65" s="9" t="s">
        <v>162</v>
      </c>
      <c r="C65" s="28">
        <v>450</v>
      </c>
      <c r="E65" s="10">
        <v>6</v>
      </c>
      <c r="F65" s="9" t="str">
        <v>WORD AVANÇADO</v>
      </c>
      <c r="G65" s="28">
        <v>450</v>
      </c>
    </row>
    <row r="66" spans="1:16" x14ac:dyDescent="0.35">
      <c r="A66" s="10">
        <v>7</v>
      </c>
      <c r="B66" s="22" t="s">
        <v>163</v>
      </c>
      <c r="C66" s="28">
        <v>200</v>
      </c>
      <c r="E66" s="10">
        <v>7</v>
      </c>
      <c r="F66" s="22" t="str">
        <v>POWER POINT BÁSICO</v>
      </c>
      <c r="G66" s="28">
        <v>200</v>
      </c>
    </row>
    <row r="67" spans="1:16" x14ac:dyDescent="0.35">
      <c r="A67" s="10">
        <v>8</v>
      </c>
      <c r="B67" s="22" t="s">
        <v>164</v>
      </c>
      <c r="C67" s="28">
        <v>250</v>
      </c>
      <c r="E67" s="10">
        <v>8</v>
      </c>
      <c r="F67" s="22" t="str">
        <v>POWER P. INTERMEDIÁRIO</v>
      </c>
      <c r="G67" s="28">
        <v>250</v>
      </c>
    </row>
    <row r="68" spans="1:16" x14ac:dyDescent="0.35">
      <c r="A68" s="10">
        <v>9</v>
      </c>
      <c r="B68" s="22" t="s">
        <v>165</v>
      </c>
      <c r="C68" s="28">
        <v>300</v>
      </c>
      <c r="E68" s="10">
        <v>9</v>
      </c>
      <c r="F68" s="22" t="str">
        <v>POWER P. AVANÇADO</v>
      </c>
      <c r="G68" s="28">
        <v>300</v>
      </c>
      <c r="J68" s="2"/>
    </row>
    <row r="69" spans="1:16" x14ac:dyDescent="0.35">
      <c r="A69" s="6"/>
      <c r="C69" s="35"/>
      <c r="E69" s="6"/>
      <c r="G69" s="35"/>
    </row>
    <row r="70" spans="1:16" x14ac:dyDescent="0.35">
      <c r="A70" s="7" t="s">
        <v>4</v>
      </c>
    </row>
    <row r="71" spans="1:16" x14ac:dyDescent="0.35">
      <c r="A71" s="7" t="s">
        <v>5</v>
      </c>
      <c r="B71" s="8" t="s">
        <v>6</v>
      </c>
      <c r="C71" s="8" t="s">
        <v>7</v>
      </c>
      <c r="D71" s="8" t="s">
        <v>33</v>
      </c>
      <c r="E71" s="8" t="s">
        <v>8</v>
      </c>
      <c r="F71" s="3" t="s">
        <v>141</v>
      </c>
    </row>
    <row r="72" spans="1:16" x14ac:dyDescent="0.35">
      <c r="A72" s="9" t="s">
        <v>128</v>
      </c>
      <c r="B72" s="45">
        <v>50</v>
      </c>
      <c r="C72" s="45"/>
      <c r="D72" s="46">
        <f>C72-B72</f>
        <v>-50</v>
      </c>
      <c r="E72" s="47" t="str">
        <f>IFERROR(D72/C72,"SEM PREÇO")</f>
        <v>SEM PREÇO</v>
      </c>
      <c r="F72" s="26" t="s">
        <v>210</v>
      </c>
    </row>
    <row r="73" spans="1:16" x14ac:dyDescent="0.35">
      <c r="A73" s="9" t="s">
        <v>129</v>
      </c>
      <c r="B73" s="45">
        <v>60</v>
      </c>
      <c r="C73" s="45"/>
      <c r="D73" s="46">
        <f t="shared" ref="D73:D74" si="7">C73-B73</f>
        <v>-60</v>
      </c>
      <c r="E73" s="47" t="e">
        <f>D73/C73</f>
        <v>#DIV/0!</v>
      </c>
    </row>
    <row r="74" spans="1:16" x14ac:dyDescent="0.35">
      <c r="A74" s="9" t="s">
        <v>130</v>
      </c>
      <c r="B74" s="45">
        <v>70</v>
      </c>
      <c r="C74" s="45">
        <v>600</v>
      </c>
      <c r="D74" s="46">
        <f t="shared" si="7"/>
        <v>530</v>
      </c>
      <c r="E74" s="47">
        <f t="shared" ref="E74" si="8">IFERROR(D74/C74,"SEM PREÇO")</f>
        <v>0.8833333333333333</v>
      </c>
      <c r="J74" s="2"/>
    </row>
    <row r="75" spans="1:16" x14ac:dyDescent="0.35">
      <c r="A75" s="6"/>
      <c r="C75" s="35"/>
      <c r="E75" s="6"/>
      <c r="G75" s="35"/>
      <c r="J75" s="2"/>
    </row>
    <row r="76" spans="1:16" x14ac:dyDescent="0.35">
      <c r="A76" s="6"/>
      <c r="C76" s="35"/>
      <c r="E76" s="6"/>
      <c r="G76" s="35"/>
      <c r="J76" s="8" t="s">
        <v>191</v>
      </c>
      <c r="K76" s="58">
        <v>2</v>
      </c>
    </row>
    <row r="77" spans="1:16" x14ac:dyDescent="0.35">
      <c r="A77" s="7" t="s">
        <v>209</v>
      </c>
      <c r="B77" s="3" t="s">
        <v>188</v>
      </c>
      <c r="C77" s="35"/>
      <c r="E77" s="3" t="s">
        <v>189</v>
      </c>
      <c r="G77" s="35"/>
      <c r="H77" s="3" t="s">
        <v>190</v>
      </c>
    </row>
    <row r="78" spans="1:16" x14ac:dyDescent="0.35">
      <c r="A78" s="8" t="s">
        <v>106</v>
      </c>
      <c r="B78" s="8" t="s">
        <v>5</v>
      </c>
      <c r="D78" s="8" t="s">
        <v>106</v>
      </c>
      <c r="E78" s="8" t="s">
        <v>5</v>
      </c>
      <c r="G78" s="8" t="s">
        <v>106</v>
      </c>
      <c r="H78" s="8" t="s">
        <v>5</v>
      </c>
      <c r="J78" s="57" t="s">
        <v>106</v>
      </c>
      <c r="K78" s="57" t="s">
        <v>5</v>
      </c>
    </row>
    <row r="79" spans="1:16" x14ac:dyDescent="0.35">
      <c r="A79" s="9">
        <v>101</v>
      </c>
      <c r="B79" s="10" t="s">
        <v>173</v>
      </c>
      <c r="D79" s="9">
        <v>116</v>
      </c>
      <c r="E79" s="10" t="s">
        <v>192</v>
      </c>
      <c r="G79" s="9">
        <v>131</v>
      </c>
      <c r="H79" s="10" t="s">
        <v>193</v>
      </c>
      <c r="J79" s="9">
        <v>101</v>
      </c>
      <c r="K79" s="10" t="str">
        <f t="shared" ref="K79:K93" si="9">IFERROR(IF($K$76=1,VLOOKUP(J79,$A$79:$B$93,2,0),IF($K$76=2,VLOOKUP(J79,$D$79:$E$93,2,0),IF($K$76=3,VLOOKUP(J79,$G$79:$H$93,2,0)))),"")</f>
        <v/>
      </c>
      <c r="P79" s="3" t="s">
        <v>141</v>
      </c>
    </row>
    <row r="80" spans="1:16" x14ac:dyDescent="0.35">
      <c r="A80" s="9">
        <v>102</v>
      </c>
      <c r="B80" s="10" t="s">
        <v>174</v>
      </c>
      <c r="D80" s="9">
        <v>117</v>
      </c>
      <c r="E80" s="10" t="s">
        <v>193</v>
      </c>
      <c r="G80" s="9">
        <v>132</v>
      </c>
      <c r="H80" s="10" t="s">
        <v>194</v>
      </c>
      <c r="J80" s="9">
        <v>102</v>
      </c>
      <c r="K80" s="10" t="str">
        <f t="shared" si="9"/>
        <v/>
      </c>
      <c r="N80" s="26" t="s">
        <v>208</v>
      </c>
    </row>
    <row r="81" spans="1:11" x14ac:dyDescent="0.35">
      <c r="A81" s="9">
        <v>103</v>
      </c>
      <c r="B81" s="10" t="s">
        <v>175</v>
      </c>
      <c r="D81" s="9">
        <v>118</v>
      </c>
      <c r="E81" s="10" t="s">
        <v>194</v>
      </c>
      <c r="G81" s="9">
        <v>133</v>
      </c>
      <c r="H81" s="10" t="s">
        <v>195</v>
      </c>
      <c r="J81" s="9">
        <v>103</v>
      </c>
      <c r="K81" s="10" t="str">
        <f t="shared" si="9"/>
        <v/>
      </c>
    </row>
    <row r="82" spans="1:11" x14ac:dyDescent="0.35">
      <c r="A82" s="9">
        <v>104</v>
      </c>
      <c r="B82" s="10" t="s">
        <v>176</v>
      </c>
      <c r="D82" s="9">
        <v>119</v>
      </c>
      <c r="E82" s="10" t="s">
        <v>195</v>
      </c>
      <c r="G82" s="9">
        <v>134</v>
      </c>
      <c r="H82" s="10" t="s">
        <v>196</v>
      </c>
      <c r="J82" s="9">
        <v>104</v>
      </c>
      <c r="K82" s="10" t="str">
        <f t="shared" si="9"/>
        <v/>
      </c>
    </row>
    <row r="83" spans="1:11" x14ac:dyDescent="0.35">
      <c r="A83" s="9">
        <v>105</v>
      </c>
      <c r="B83" s="10" t="s">
        <v>177</v>
      </c>
      <c r="D83" s="9">
        <v>120</v>
      </c>
      <c r="E83" s="10" t="s">
        <v>196</v>
      </c>
      <c r="G83" s="9">
        <v>135</v>
      </c>
      <c r="H83" s="10" t="s">
        <v>197</v>
      </c>
      <c r="J83" s="9">
        <v>105</v>
      </c>
      <c r="K83" s="10" t="str">
        <f t="shared" si="9"/>
        <v/>
      </c>
    </row>
    <row r="84" spans="1:11" x14ac:dyDescent="0.35">
      <c r="A84" s="9">
        <v>106</v>
      </c>
      <c r="B84" s="10" t="s">
        <v>178</v>
      </c>
      <c r="D84" s="9">
        <v>121</v>
      </c>
      <c r="E84" s="10" t="s">
        <v>197</v>
      </c>
      <c r="G84" s="9">
        <v>136</v>
      </c>
      <c r="H84" s="10" t="s">
        <v>198</v>
      </c>
      <c r="J84" s="9">
        <v>116</v>
      </c>
      <c r="K84" s="10" t="str">
        <f t="shared" si="9"/>
        <v>PRODUTO 16</v>
      </c>
    </row>
    <row r="85" spans="1:11" x14ac:dyDescent="0.35">
      <c r="A85" s="9">
        <v>107</v>
      </c>
      <c r="B85" s="10" t="s">
        <v>179</v>
      </c>
      <c r="D85" s="9">
        <v>122</v>
      </c>
      <c r="E85" s="10" t="s">
        <v>198</v>
      </c>
      <c r="G85" s="9">
        <v>137</v>
      </c>
      <c r="H85" s="10" t="s">
        <v>199</v>
      </c>
      <c r="J85" s="9">
        <v>117</v>
      </c>
      <c r="K85" s="10" t="str">
        <f t="shared" si="9"/>
        <v>PRODUTO 17</v>
      </c>
    </row>
    <row r="86" spans="1:11" x14ac:dyDescent="0.35">
      <c r="A86" s="9">
        <v>108</v>
      </c>
      <c r="B86" s="10" t="s">
        <v>180</v>
      </c>
      <c r="D86" s="9">
        <v>123</v>
      </c>
      <c r="E86" s="10" t="s">
        <v>199</v>
      </c>
      <c r="G86" s="9">
        <v>138</v>
      </c>
      <c r="H86" s="10" t="s">
        <v>200</v>
      </c>
      <c r="J86" s="9">
        <v>118</v>
      </c>
      <c r="K86" s="10" t="str">
        <f t="shared" si="9"/>
        <v>PRODUTO 18</v>
      </c>
    </row>
    <row r="87" spans="1:11" x14ac:dyDescent="0.35">
      <c r="A87" s="9">
        <v>109</v>
      </c>
      <c r="B87" s="10" t="s">
        <v>181</v>
      </c>
      <c r="D87" s="9">
        <v>124</v>
      </c>
      <c r="E87" s="10" t="s">
        <v>200</v>
      </c>
      <c r="G87" s="9">
        <v>139</v>
      </c>
      <c r="H87" s="10" t="s">
        <v>201</v>
      </c>
      <c r="J87" s="9">
        <v>119</v>
      </c>
      <c r="K87" s="10" t="str">
        <f t="shared" si="9"/>
        <v>PRODUTO 19</v>
      </c>
    </row>
    <row r="88" spans="1:11" x14ac:dyDescent="0.35">
      <c r="A88" s="9">
        <v>110</v>
      </c>
      <c r="B88" s="10" t="s">
        <v>182</v>
      </c>
      <c r="D88" s="9">
        <v>125</v>
      </c>
      <c r="E88" s="10" t="s">
        <v>201</v>
      </c>
      <c r="G88" s="9">
        <v>140</v>
      </c>
      <c r="H88" s="10" t="s">
        <v>202</v>
      </c>
      <c r="J88" s="9">
        <v>120</v>
      </c>
      <c r="K88" s="10" t="str">
        <f t="shared" si="9"/>
        <v>PRODUTO 20</v>
      </c>
    </row>
    <row r="89" spans="1:11" x14ac:dyDescent="0.35">
      <c r="A89" s="9">
        <v>111</v>
      </c>
      <c r="B89" s="10" t="s">
        <v>183</v>
      </c>
      <c r="D89" s="9">
        <v>126</v>
      </c>
      <c r="E89" s="10" t="s">
        <v>202</v>
      </c>
      <c r="G89" s="9">
        <v>141</v>
      </c>
      <c r="H89" s="10" t="s">
        <v>203</v>
      </c>
      <c r="J89" s="9">
        <v>121</v>
      </c>
      <c r="K89" s="10" t="str">
        <f t="shared" si="9"/>
        <v>PRODUTO 21</v>
      </c>
    </row>
    <row r="90" spans="1:11" x14ac:dyDescent="0.35">
      <c r="A90" s="9">
        <v>112</v>
      </c>
      <c r="B90" s="10" t="s">
        <v>184</v>
      </c>
      <c r="D90" s="9">
        <v>127</v>
      </c>
      <c r="E90" s="10" t="s">
        <v>203</v>
      </c>
      <c r="G90" s="9">
        <v>142</v>
      </c>
      <c r="H90" s="10" t="s">
        <v>204</v>
      </c>
      <c r="J90" s="9">
        <v>131</v>
      </c>
      <c r="K90" s="10" t="str">
        <f t="shared" si="9"/>
        <v/>
      </c>
    </row>
    <row r="91" spans="1:11" x14ac:dyDescent="0.35">
      <c r="A91" s="9">
        <v>113</v>
      </c>
      <c r="B91" s="10" t="s">
        <v>185</v>
      </c>
      <c r="D91" s="9">
        <v>128</v>
      </c>
      <c r="E91" s="10" t="s">
        <v>204</v>
      </c>
      <c r="G91" s="9">
        <v>143</v>
      </c>
      <c r="H91" s="10" t="s">
        <v>205</v>
      </c>
      <c r="J91" s="9">
        <v>132</v>
      </c>
      <c r="K91" s="10" t="str">
        <f t="shared" si="9"/>
        <v/>
      </c>
    </row>
    <row r="92" spans="1:11" x14ac:dyDescent="0.35">
      <c r="A92" s="9">
        <v>114</v>
      </c>
      <c r="B92" s="10" t="s">
        <v>186</v>
      </c>
      <c r="D92" s="9">
        <v>129</v>
      </c>
      <c r="E92" s="10" t="s">
        <v>205</v>
      </c>
      <c r="G92" s="9">
        <v>144</v>
      </c>
      <c r="H92" s="10" t="s">
        <v>206</v>
      </c>
      <c r="J92" s="9">
        <v>133</v>
      </c>
      <c r="K92" s="10" t="str">
        <f t="shared" si="9"/>
        <v/>
      </c>
    </row>
    <row r="93" spans="1:11" x14ac:dyDescent="0.35">
      <c r="A93" s="9">
        <v>115</v>
      </c>
      <c r="B93" s="10" t="s">
        <v>187</v>
      </c>
      <c r="D93" s="9">
        <v>130</v>
      </c>
      <c r="E93" s="10" t="s">
        <v>206</v>
      </c>
      <c r="G93" s="9">
        <v>145</v>
      </c>
      <c r="H93" s="10" t="s">
        <v>207</v>
      </c>
      <c r="J93" s="9">
        <v>134</v>
      </c>
      <c r="K93" s="10" t="str">
        <f t="shared" si="9"/>
        <v/>
      </c>
    </row>
    <row r="94" spans="1:11" x14ac:dyDescent="0.35">
      <c r="A94" s="6"/>
      <c r="C94" s="35"/>
      <c r="E94" s="6"/>
      <c r="G94" s="35"/>
    </row>
    <row r="95" spans="1:11" x14ac:dyDescent="0.35">
      <c r="A95" s="6"/>
      <c r="C95" s="35"/>
      <c r="E95" s="6"/>
      <c r="G95" s="35"/>
    </row>
    <row r="96" spans="1:11" x14ac:dyDescent="0.35">
      <c r="F96" s="32"/>
    </row>
    <row r="97" spans="1:9" x14ac:dyDescent="0.35">
      <c r="A97" s="8" t="s">
        <v>35</v>
      </c>
      <c r="B97" s="3" t="s">
        <v>96</v>
      </c>
      <c r="C97" s="3" t="s">
        <v>166</v>
      </c>
      <c r="F97" s="32"/>
    </row>
    <row r="98" spans="1:9" x14ac:dyDescent="0.35">
      <c r="A98" s="7" t="s">
        <v>51</v>
      </c>
      <c r="B98" s="8" t="s">
        <v>5</v>
      </c>
      <c r="C98" s="8" t="s">
        <v>55</v>
      </c>
      <c r="E98" s="8" t="s">
        <v>5</v>
      </c>
      <c r="F98" s="8" t="s">
        <v>55</v>
      </c>
      <c r="G98" s="7" t="s">
        <v>51</v>
      </c>
    </row>
    <row r="99" spans="1:9" x14ac:dyDescent="0.35">
      <c r="A99" s="10">
        <v>1</v>
      </c>
      <c r="B99" s="9" t="s">
        <v>128</v>
      </c>
      <c r="C99" s="28">
        <v>450</v>
      </c>
      <c r="E99" s="36" t="str" cm="1">
        <f t="array" ref="E99:E107">_xlfn.XLOOKUP(G99:G107,A99:A107,B99:B107,"NÃO LOCALIZADO")</f>
        <v>EXCEL BÁSICO</v>
      </c>
      <c r="F99" s="28" cm="1">
        <f t="array" ref="F99:F107">_xlfn.XLOOKUP(G99:G107,A99:A107,C99:C107,"NÃO LOCALIZADO")</f>
        <v>450</v>
      </c>
      <c r="G99" s="10">
        <v>1</v>
      </c>
      <c r="H99" s="26" t="s">
        <v>211</v>
      </c>
      <c r="I99" s="3" t="s">
        <v>212</v>
      </c>
    </row>
    <row r="100" spans="1:9" x14ac:dyDescent="0.35">
      <c r="A100" s="10">
        <v>2</v>
      </c>
      <c r="B100" s="9" t="s">
        <v>129</v>
      </c>
      <c r="C100" s="28">
        <v>500</v>
      </c>
      <c r="E100" s="36" t="str">
        <v>EXCEL INTERMEDIÁRIO</v>
      </c>
      <c r="F100" s="28">
        <v>500</v>
      </c>
      <c r="G100" s="10">
        <v>2</v>
      </c>
    </row>
    <row r="101" spans="1:9" x14ac:dyDescent="0.35">
      <c r="A101" s="10">
        <v>3</v>
      </c>
      <c r="B101" s="9" t="s">
        <v>130</v>
      </c>
      <c r="C101" s="28">
        <v>550</v>
      </c>
      <c r="E101" s="36" t="str">
        <v>EXCEL AVANÇADO</v>
      </c>
      <c r="F101" s="28">
        <v>550</v>
      </c>
      <c r="G101" s="10">
        <v>3</v>
      </c>
    </row>
    <row r="102" spans="1:9" x14ac:dyDescent="0.35">
      <c r="A102" s="10">
        <v>4</v>
      </c>
      <c r="B102" s="9" t="s">
        <v>160</v>
      </c>
      <c r="C102" s="28">
        <v>350</v>
      </c>
      <c r="E102" s="36" t="str">
        <v>WORD BÁSICO</v>
      </c>
      <c r="F102" s="28">
        <v>350</v>
      </c>
      <c r="G102" s="10">
        <v>4</v>
      </c>
    </row>
    <row r="103" spans="1:9" x14ac:dyDescent="0.35">
      <c r="A103" s="10">
        <v>5</v>
      </c>
      <c r="B103" s="9" t="s">
        <v>161</v>
      </c>
      <c r="C103" s="28">
        <v>400</v>
      </c>
      <c r="E103" s="36" t="str">
        <v>WORD INTERMEDIÁRIO</v>
      </c>
      <c r="F103" s="28">
        <v>400</v>
      </c>
      <c r="G103" s="10">
        <v>5</v>
      </c>
    </row>
    <row r="104" spans="1:9" x14ac:dyDescent="0.35">
      <c r="A104" s="10">
        <v>6</v>
      </c>
      <c r="B104" s="9" t="s">
        <v>162</v>
      </c>
      <c r="C104" s="28">
        <v>450</v>
      </c>
      <c r="E104" s="36" t="str">
        <v>WORD AVANÇADO</v>
      </c>
      <c r="F104" s="28">
        <v>450</v>
      </c>
      <c r="G104" s="10">
        <v>6</v>
      </c>
    </row>
    <row r="105" spans="1:9" x14ac:dyDescent="0.35">
      <c r="A105" s="10">
        <v>7</v>
      </c>
      <c r="B105" s="22" t="s">
        <v>163</v>
      </c>
      <c r="C105" s="28">
        <v>200</v>
      </c>
      <c r="E105" s="36" t="str">
        <v>POWER POINT BÁSICO</v>
      </c>
      <c r="F105" s="28">
        <v>200</v>
      </c>
      <c r="G105" s="10">
        <v>7</v>
      </c>
    </row>
    <row r="106" spans="1:9" x14ac:dyDescent="0.35">
      <c r="A106" s="10">
        <v>8</v>
      </c>
      <c r="B106" s="22" t="s">
        <v>164</v>
      </c>
      <c r="C106" s="28">
        <v>250</v>
      </c>
      <c r="E106" s="36" t="str">
        <v>POWER P. INTERMEDIÁRIO</v>
      </c>
      <c r="F106" s="28">
        <v>250</v>
      </c>
      <c r="G106" s="10">
        <v>8</v>
      </c>
    </row>
    <row r="107" spans="1:9" x14ac:dyDescent="0.35">
      <c r="A107" s="10">
        <v>9</v>
      </c>
      <c r="B107" s="22" t="s">
        <v>165</v>
      </c>
      <c r="C107" s="28">
        <v>300</v>
      </c>
      <c r="E107" s="36" t="str">
        <v>POWER P. AVANÇADO</v>
      </c>
      <c r="F107" s="28">
        <v>300</v>
      </c>
      <c r="G107" s="10">
        <v>9</v>
      </c>
    </row>
    <row r="108" spans="1:9" x14ac:dyDescent="0.35">
      <c r="F108" s="32"/>
    </row>
    <row r="109" spans="1:9" x14ac:dyDescent="0.35">
      <c r="F109" s="32"/>
    </row>
    <row r="110" spans="1:9" x14ac:dyDescent="0.35">
      <c r="A110" s="7" t="s">
        <v>20</v>
      </c>
      <c r="C110" s="41"/>
      <c r="E110" s="41"/>
      <c r="H110" s="6"/>
    </row>
    <row r="111" spans="1:9" x14ac:dyDescent="0.35">
      <c r="A111" s="7" t="s">
        <v>5</v>
      </c>
      <c r="B111" s="8" t="s">
        <v>22</v>
      </c>
      <c r="C111" s="8" t="s">
        <v>79</v>
      </c>
      <c r="D111" s="8" t="s">
        <v>80</v>
      </c>
      <c r="E111" s="41"/>
    </row>
    <row r="112" spans="1:9" x14ac:dyDescent="0.35">
      <c r="A112" s="9" t="s">
        <v>81</v>
      </c>
      <c r="B112" s="42">
        <v>5</v>
      </c>
      <c r="C112" s="23">
        <v>250</v>
      </c>
      <c r="D112" s="43">
        <f>B112*C112</f>
        <v>1250</v>
      </c>
      <c r="E112" s="41"/>
    </row>
    <row r="113" spans="1:10" x14ac:dyDescent="0.35">
      <c r="A113" s="9" t="s">
        <v>74</v>
      </c>
      <c r="B113" s="42">
        <v>10</v>
      </c>
      <c r="C113" s="23">
        <v>50</v>
      </c>
      <c r="D113" s="43">
        <f t="shared" ref="D113:D118" si="10">B113*C113</f>
        <v>500</v>
      </c>
      <c r="E113" s="44" t="s">
        <v>122</v>
      </c>
    </row>
    <row r="114" spans="1:10" x14ac:dyDescent="0.35">
      <c r="A114" s="9" t="s">
        <v>81</v>
      </c>
      <c r="B114" s="42">
        <v>15</v>
      </c>
      <c r="C114" s="23">
        <v>70</v>
      </c>
      <c r="D114" s="43">
        <f t="shared" si="10"/>
        <v>1050</v>
      </c>
      <c r="E114" s="41"/>
    </row>
    <row r="115" spans="1:10" x14ac:dyDescent="0.35">
      <c r="A115" s="9" t="s">
        <v>75</v>
      </c>
      <c r="B115" s="42">
        <v>2</v>
      </c>
      <c r="C115" s="23">
        <v>50</v>
      </c>
      <c r="D115" s="43">
        <f t="shared" si="10"/>
        <v>100</v>
      </c>
      <c r="E115" s="41"/>
    </row>
    <row r="116" spans="1:10" x14ac:dyDescent="0.35">
      <c r="A116" s="9" t="s">
        <v>76</v>
      </c>
      <c r="B116" s="42">
        <v>4</v>
      </c>
      <c r="C116" s="23">
        <v>200</v>
      </c>
      <c r="D116" s="43">
        <f t="shared" si="10"/>
        <v>800</v>
      </c>
      <c r="E116" s="41"/>
    </row>
    <row r="117" spans="1:10" x14ac:dyDescent="0.35">
      <c r="A117" s="9" t="s">
        <v>77</v>
      </c>
      <c r="B117" s="42">
        <v>7</v>
      </c>
      <c r="C117" s="23">
        <v>30</v>
      </c>
      <c r="D117" s="43">
        <f t="shared" si="10"/>
        <v>210</v>
      </c>
      <c r="E117" s="41"/>
    </row>
    <row r="118" spans="1:10" x14ac:dyDescent="0.35">
      <c r="A118" s="9" t="s">
        <v>78</v>
      </c>
      <c r="B118" s="42">
        <v>9</v>
      </c>
      <c r="C118" s="23">
        <v>36</v>
      </c>
      <c r="D118" s="43">
        <f t="shared" si="10"/>
        <v>324</v>
      </c>
      <c r="E118" s="41"/>
    </row>
    <row r="119" spans="1:10" x14ac:dyDescent="0.35">
      <c r="C119" s="41"/>
      <c r="D119" s="43">
        <f>SUM(D112:D118)</f>
        <v>4234</v>
      </c>
      <c r="E119" s="41"/>
    </row>
    <row r="120" spans="1:10" x14ac:dyDescent="0.35">
      <c r="B120" s="8" t="s">
        <v>80</v>
      </c>
      <c r="C120" s="23">
        <f>SUMPRODUCT(B112:B118,C112:C118)</f>
        <v>4234</v>
      </c>
      <c r="E120" s="41" t="s">
        <v>121</v>
      </c>
    </row>
    <row r="121" spans="1:10" x14ac:dyDescent="0.35">
      <c r="C121" s="41"/>
      <c r="E121" s="41"/>
    </row>
    <row r="122" spans="1:10" x14ac:dyDescent="0.35">
      <c r="B122" s="8" t="s">
        <v>81</v>
      </c>
      <c r="C122" s="28" cm="1">
        <f t="array" ref="C122">SUMPRODUCT((A112:A118=B122)*(B112:B118)*(C112:C118))</f>
        <v>2300</v>
      </c>
      <c r="E122" s="41" t="s">
        <v>120</v>
      </c>
    </row>
    <row r="123" spans="1:10" x14ac:dyDescent="0.35">
      <c r="J123" s="6">
        <v>10</v>
      </c>
    </row>
    <row r="125" spans="1:10" x14ac:dyDescent="0.35">
      <c r="A125" s="7" t="s">
        <v>96</v>
      </c>
      <c r="E125" s="8" t="s">
        <v>97</v>
      </c>
    </row>
    <row r="127" spans="1:10" x14ac:dyDescent="0.35">
      <c r="A127" s="7" t="s">
        <v>82</v>
      </c>
    </row>
    <row r="128" spans="1:10" x14ac:dyDescent="0.35">
      <c r="A128" s="7" t="s">
        <v>51</v>
      </c>
      <c r="B128" s="8" t="s">
        <v>50</v>
      </c>
      <c r="C128" s="8" t="s">
        <v>83</v>
      </c>
      <c r="E128" s="8" t="s">
        <v>51</v>
      </c>
      <c r="F128" s="8" t="s">
        <v>50</v>
      </c>
      <c r="G128" s="8" t="s">
        <v>83</v>
      </c>
    </row>
    <row r="129" spans="1:11" x14ac:dyDescent="0.35">
      <c r="A129" s="9">
        <v>22</v>
      </c>
      <c r="B129" s="22" t="s">
        <v>84</v>
      </c>
      <c r="C129" s="22" t="s">
        <v>89</v>
      </c>
      <c r="E129" s="10"/>
      <c r="F129" s="22" t="str">
        <f>IFERROR(VLOOKUP(E129,A129:B129,2,0),"SEM INFORMAÇÃO")</f>
        <v>SEM INFORMAÇÃO</v>
      </c>
      <c r="G129" s="22"/>
    </row>
    <row r="130" spans="1:11" x14ac:dyDescent="0.35">
      <c r="A130" s="9">
        <v>23</v>
      </c>
      <c r="B130" s="22" t="s">
        <v>85</v>
      </c>
      <c r="C130" s="22" t="s">
        <v>90</v>
      </c>
      <c r="E130" s="10"/>
      <c r="F130" s="22" t="str">
        <f>IFERROR(VLOOKUP(E130,A130:C130,2,FALSE),"")</f>
        <v/>
      </c>
      <c r="G130" s="22" t="str">
        <f>IFERROR(VLOOKUP(E130,A130:C130,3,FALSE),"")</f>
        <v/>
      </c>
    </row>
    <row r="131" spans="1:11" x14ac:dyDescent="0.35">
      <c r="A131" s="9">
        <v>24</v>
      </c>
      <c r="B131" s="22" t="s">
        <v>2</v>
      </c>
      <c r="C131" s="22" t="s">
        <v>91</v>
      </c>
      <c r="E131" s="10"/>
      <c r="F131" s="22" t="str">
        <f>IFERROR(VLOOKUP(E131,A131:C131,2,FALSE),"SEM INFORMACAO")</f>
        <v>SEM INFORMACAO</v>
      </c>
      <c r="G131" s="22" t="str">
        <f>IFERROR(VLOOKUP(E131,A131:C131,3,FALSE),"SEM INFORMACAO")</f>
        <v>SEM INFORMACAO</v>
      </c>
    </row>
    <row r="132" spans="1:11" x14ac:dyDescent="0.35">
      <c r="A132" s="9">
        <v>25</v>
      </c>
      <c r="B132" s="22" t="s">
        <v>86</v>
      </c>
      <c r="C132" s="22" t="s">
        <v>92</v>
      </c>
      <c r="E132" s="10">
        <v>25</v>
      </c>
      <c r="F132" s="22" t="str">
        <f>VLOOKUP(E132,A132:C132,2,FALSE)</f>
        <v>BERNARDO</v>
      </c>
      <c r="G132" s="22" t="str">
        <f>VLOOKUP(E132,A132:C132,3,FALSE)</f>
        <v>PARANÁ</v>
      </c>
    </row>
    <row r="133" spans="1:11" x14ac:dyDescent="0.35">
      <c r="A133" s="9">
        <v>26</v>
      </c>
      <c r="B133" s="22" t="s">
        <v>87</v>
      </c>
      <c r="C133" s="22" t="s">
        <v>93</v>
      </c>
      <c r="E133" s="10">
        <v>26</v>
      </c>
      <c r="F133" s="22" t="str">
        <f>VLOOKUP(E133,A133:C133,2,FALSE)</f>
        <v>ANTONIO</v>
      </c>
      <c r="G133" s="22" t="str">
        <f>VLOOKUP(E133,A133:C133,3,FALSE)</f>
        <v>MINAS GERAIS</v>
      </c>
    </row>
    <row r="134" spans="1:11" x14ac:dyDescent="0.35">
      <c r="A134" s="9">
        <v>27</v>
      </c>
      <c r="B134" s="22" t="s">
        <v>88</v>
      </c>
      <c r="C134" s="22" t="s">
        <v>94</v>
      </c>
      <c r="E134" s="10">
        <v>27</v>
      </c>
      <c r="F134" s="22" t="str">
        <f>VLOOKUP(E134,A134:C134,2,FALSE)</f>
        <v>ANTONELA</v>
      </c>
      <c r="G134" s="22" t="str">
        <f>VLOOKUP(E134,A134:C134,3,FALSE)</f>
        <v>MARANHAO</v>
      </c>
    </row>
    <row r="135" spans="1:11" x14ac:dyDescent="0.35">
      <c r="A135" s="9">
        <v>28</v>
      </c>
      <c r="B135" s="22" t="s">
        <v>26</v>
      </c>
      <c r="C135" s="22" t="s">
        <v>95</v>
      </c>
      <c r="E135" s="10">
        <v>28</v>
      </c>
      <c r="F135" s="22" t="str">
        <f>VLOOKUP(E135,A135:C135,2,FALSE)</f>
        <v>FRANCISCO</v>
      </c>
      <c r="G135" s="22" t="str">
        <f>VLOOKUP(E135,A135:C135,3,FALSE)</f>
        <v>TOCANTINS</v>
      </c>
    </row>
    <row r="138" spans="1:11" x14ac:dyDescent="0.35">
      <c r="A138" s="7" t="s">
        <v>10</v>
      </c>
      <c r="J138" s="2"/>
      <c r="K138" s="6"/>
    </row>
    <row r="139" spans="1:11" x14ac:dyDescent="0.35">
      <c r="A139" s="7" t="s">
        <v>11</v>
      </c>
      <c r="B139" s="8" t="s">
        <v>16</v>
      </c>
      <c r="D139" s="8" t="s">
        <v>11</v>
      </c>
      <c r="E139" s="8" t="s">
        <v>15</v>
      </c>
      <c r="H139" s="6"/>
      <c r="J139" s="2"/>
      <c r="K139" s="6"/>
    </row>
    <row r="140" spans="1:11" x14ac:dyDescent="0.35">
      <c r="A140" s="9" t="s">
        <v>12</v>
      </c>
      <c r="B140" s="10">
        <v>1</v>
      </c>
      <c r="D140" s="8" t="s">
        <v>16</v>
      </c>
      <c r="E140" s="10">
        <f>MATCH(E139,A140:A143,0)</f>
        <v>4</v>
      </c>
      <c r="H140" s="6"/>
      <c r="J140" s="2"/>
      <c r="K140" s="6"/>
    </row>
    <row r="141" spans="1:11" x14ac:dyDescent="0.35">
      <c r="A141" s="9" t="s">
        <v>13</v>
      </c>
      <c r="B141" s="10">
        <v>2</v>
      </c>
      <c r="E141" s="2" t="s">
        <v>53</v>
      </c>
      <c r="H141" s="6"/>
      <c r="J141" s="2"/>
      <c r="K141" s="6"/>
    </row>
    <row r="142" spans="1:11" x14ac:dyDescent="0.35">
      <c r="A142" s="9" t="s">
        <v>14</v>
      </c>
      <c r="B142" s="10">
        <v>3</v>
      </c>
      <c r="H142" s="6"/>
      <c r="J142" s="2"/>
      <c r="K142" s="6"/>
    </row>
    <row r="143" spans="1:11" x14ac:dyDescent="0.35">
      <c r="A143" s="9" t="s">
        <v>15</v>
      </c>
      <c r="B143" s="10">
        <v>4</v>
      </c>
      <c r="H143" s="6"/>
      <c r="J143" s="2"/>
      <c r="K143" s="6"/>
    </row>
    <row r="144" spans="1:11" x14ac:dyDescent="0.35">
      <c r="B144" s="6"/>
      <c r="H144" s="6"/>
      <c r="I144" s="2"/>
      <c r="J144" s="2"/>
      <c r="K144" s="6"/>
    </row>
    <row r="145" spans="1:11" x14ac:dyDescent="0.35">
      <c r="A145" s="7" t="s">
        <v>24</v>
      </c>
      <c r="H145" s="6"/>
      <c r="I145" s="2"/>
      <c r="J145" s="2"/>
      <c r="K145" s="6"/>
    </row>
    <row r="146" spans="1:11" x14ac:dyDescent="0.35">
      <c r="A146" s="7" t="s">
        <v>69</v>
      </c>
      <c r="B146" s="48"/>
      <c r="C146" s="8" t="s">
        <v>69</v>
      </c>
      <c r="D146" s="8" t="s">
        <v>34</v>
      </c>
      <c r="H146" s="6"/>
      <c r="I146" s="2"/>
      <c r="J146" s="2"/>
      <c r="K146" s="6"/>
    </row>
    <row r="147" spans="1:11" x14ac:dyDescent="0.35">
      <c r="A147" s="36" t="s">
        <v>70</v>
      </c>
      <c r="B147" s="49"/>
      <c r="C147" s="45" t="s">
        <v>70</v>
      </c>
      <c r="D147" s="10" cm="1">
        <f t="array" ref="D147:D151">COUNTIF($C$147,$A$147:$A$151)</f>
        <v>1</v>
      </c>
      <c r="E147" s="2" t="s">
        <v>65</v>
      </c>
      <c r="H147" s="6"/>
      <c r="I147" s="2"/>
    </row>
    <row r="148" spans="1:11" x14ac:dyDescent="0.35">
      <c r="A148" s="36" t="s">
        <v>71</v>
      </c>
      <c r="B148" s="49"/>
      <c r="D148" s="2">
        <v>0</v>
      </c>
      <c r="G148" s="6"/>
      <c r="I148" s="2"/>
    </row>
    <row r="149" spans="1:11" x14ac:dyDescent="0.35">
      <c r="A149" s="36" t="s">
        <v>72</v>
      </c>
      <c r="B149" s="49"/>
      <c r="D149" s="2">
        <v>0</v>
      </c>
      <c r="G149" s="6"/>
      <c r="I149" s="2"/>
    </row>
    <row r="150" spans="1:11" x14ac:dyDescent="0.35">
      <c r="A150" s="36" t="s">
        <v>70</v>
      </c>
      <c r="B150" s="49"/>
      <c r="D150" s="2">
        <v>1</v>
      </c>
      <c r="G150" s="6"/>
      <c r="I150" s="2"/>
    </row>
    <row r="151" spans="1:11" x14ac:dyDescent="0.35">
      <c r="A151" s="36" t="s">
        <v>71</v>
      </c>
      <c r="B151" s="49"/>
      <c r="D151" s="2">
        <v>0</v>
      </c>
      <c r="G151" s="6"/>
      <c r="I151" s="2"/>
    </row>
    <row r="152" spans="1:11" x14ac:dyDescent="0.35">
      <c r="G152" s="6"/>
      <c r="I152" s="2"/>
    </row>
    <row r="153" spans="1:11" x14ac:dyDescent="0.35">
      <c r="G153" s="6"/>
      <c r="I153" s="2"/>
      <c r="J153" s="2"/>
    </row>
    <row r="154" spans="1:11" x14ac:dyDescent="0.35">
      <c r="A154" s="8" t="s">
        <v>27</v>
      </c>
      <c r="B154" s="8" t="s">
        <v>216</v>
      </c>
      <c r="C154" s="8" t="s">
        <v>219</v>
      </c>
    </row>
    <row r="155" spans="1:11" x14ac:dyDescent="0.35">
      <c r="A155" s="8" t="s">
        <v>52</v>
      </c>
      <c r="B155" s="8" t="s">
        <v>52</v>
      </c>
      <c r="C155" s="8" t="s">
        <v>52</v>
      </c>
    </row>
    <row r="156" spans="1:11" x14ac:dyDescent="0.35">
      <c r="A156" s="36">
        <v>1</v>
      </c>
      <c r="B156" s="22">
        <v>1</v>
      </c>
      <c r="C156" s="22">
        <v>1</v>
      </c>
    </row>
    <row r="157" spans="1:11" x14ac:dyDescent="0.35">
      <c r="A157" s="36">
        <v>1</v>
      </c>
      <c r="B157" s="22">
        <v>1</v>
      </c>
      <c r="C157" s="22">
        <v>1</v>
      </c>
    </row>
    <row r="158" spans="1:11" x14ac:dyDescent="0.35">
      <c r="A158" s="36" t="s">
        <v>218</v>
      </c>
      <c r="B158" s="22">
        <v>2</v>
      </c>
      <c r="C158" s="22"/>
    </row>
    <row r="159" spans="1:11" x14ac:dyDescent="0.35">
      <c r="A159" s="36" t="s">
        <v>218</v>
      </c>
      <c r="B159" s="22">
        <v>3</v>
      </c>
      <c r="C159" s="22"/>
    </row>
    <row r="160" spans="1:11" x14ac:dyDescent="0.35">
      <c r="A160" s="36" t="s">
        <v>217</v>
      </c>
      <c r="B160" s="22" t="s">
        <v>218</v>
      </c>
      <c r="C160" s="22"/>
    </row>
    <row r="161" spans="1:7" x14ac:dyDescent="0.35">
      <c r="A161" s="59"/>
    </row>
    <row r="162" spans="1:7" x14ac:dyDescent="0.35">
      <c r="A162" s="7">
        <f>COUNTA(A156:A160)</f>
        <v>5</v>
      </c>
      <c r="B162" s="7">
        <f>COUNT(B156:B160)</f>
        <v>4</v>
      </c>
      <c r="C162" s="7">
        <f>COUNTBLANK(C156:C160)</f>
        <v>3</v>
      </c>
    </row>
    <row r="164" spans="1:7" x14ac:dyDescent="0.35">
      <c r="A164" s="7" t="s">
        <v>29</v>
      </c>
      <c r="B164" s="50" t="s">
        <v>66</v>
      </c>
      <c r="C164" s="50" t="s">
        <v>67</v>
      </c>
    </row>
    <row r="165" spans="1:7" x14ac:dyDescent="0.35">
      <c r="A165" s="60" t="s">
        <v>215</v>
      </c>
      <c r="B165" s="8">
        <f>LEN(A165)</f>
        <v>12</v>
      </c>
      <c r="C165" s="8">
        <f>LEN(SUBSTITUTE(A165," ",""))</f>
        <v>11</v>
      </c>
    </row>
    <row r="166" spans="1:7" x14ac:dyDescent="0.35">
      <c r="B166" s="6" t="s">
        <v>220</v>
      </c>
      <c r="C166" s="2" t="s">
        <v>221</v>
      </c>
    </row>
    <row r="167" spans="1:7" x14ac:dyDescent="0.35">
      <c r="A167" s="39"/>
    </row>
    <row r="168" spans="1:7" x14ac:dyDescent="0.35">
      <c r="A168" s="88" t="s">
        <v>235</v>
      </c>
      <c r="B168" s="89"/>
      <c r="C168" s="89"/>
    </row>
    <row r="169" spans="1:7" x14ac:dyDescent="0.35">
      <c r="A169" s="62" t="s">
        <v>222</v>
      </c>
      <c r="B169" s="63" t="s">
        <v>225</v>
      </c>
      <c r="C169" s="63" t="s">
        <v>228</v>
      </c>
    </row>
    <row r="170" spans="1:7" x14ac:dyDescent="0.35">
      <c r="A170" s="62" t="s">
        <v>223</v>
      </c>
      <c r="B170" s="63" t="s">
        <v>226</v>
      </c>
      <c r="C170" s="63" t="s">
        <v>229</v>
      </c>
    </row>
    <row r="171" spans="1:7" x14ac:dyDescent="0.35">
      <c r="A171" s="62" t="s">
        <v>224</v>
      </c>
      <c r="B171" s="63" t="s">
        <v>227</v>
      </c>
      <c r="C171" s="63" t="s">
        <v>230</v>
      </c>
    </row>
    <row r="173" spans="1:7" x14ac:dyDescent="0.35">
      <c r="A173" s="85" t="s">
        <v>232</v>
      </c>
      <c r="B173" s="86"/>
      <c r="C173" s="87"/>
      <c r="E173" s="84" t="s">
        <v>233</v>
      </c>
      <c r="F173" s="84"/>
      <c r="G173" s="84"/>
    </row>
    <row r="174" spans="1:7" x14ac:dyDescent="0.35">
      <c r="A174" s="9" t="str">
        <f>A169</f>
        <v>Nycholas</v>
      </c>
      <c r="B174" s="10" t="str">
        <f>B169</f>
        <v>Fernando</v>
      </c>
      <c r="C174" s="10" t="str">
        <f>C169</f>
        <v>Ana</v>
      </c>
      <c r="D174" s="6"/>
      <c r="E174" s="10" t="str">
        <f>$A$169</f>
        <v>Nycholas</v>
      </c>
      <c r="F174" s="10" t="str">
        <f t="shared" ref="F174:G176" si="11">$A$169</f>
        <v>Nycholas</v>
      </c>
      <c r="G174" s="10" t="str">
        <f t="shared" si="11"/>
        <v>Nycholas</v>
      </c>
    </row>
    <row r="175" spans="1:7" x14ac:dyDescent="0.35">
      <c r="A175" s="9" t="str">
        <f>A170</f>
        <v>Joao</v>
      </c>
      <c r="B175" s="10" t="str">
        <f>B170</f>
        <v>Antonio</v>
      </c>
      <c r="C175" s="10" t="str">
        <f t="shared" ref="C175:C176" si="12">C170</f>
        <v>Gabriela</v>
      </c>
      <c r="D175" s="6"/>
      <c r="E175" s="10" t="str">
        <f t="shared" ref="E175:E176" si="13">$A$169</f>
        <v>Nycholas</v>
      </c>
      <c r="F175" s="10" t="str">
        <f t="shared" si="11"/>
        <v>Nycholas</v>
      </c>
      <c r="G175" s="10" t="str">
        <f t="shared" si="11"/>
        <v>Nycholas</v>
      </c>
    </row>
    <row r="176" spans="1:7" x14ac:dyDescent="0.35">
      <c r="A176" s="9" t="str">
        <f>A171</f>
        <v>Maria</v>
      </c>
      <c r="B176" s="10" t="str">
        <f>B171</f>
        <v>Mateus</v>
      </c>
      <c r="C176" s="10" t="str">
        <f t="shared" si="12"/>
        <v>Joaquin</v>
      </c>
      <c r="D176" s="6"/>
      <c r="E176" s="10" t="str">
        <f t="shared" si="13"/>
        <v>Nycholas</v>
      </c>
      <c r="F176" s="10" t="str">
        <f t="shared" si="11"/>
        <v>Nycholas</v>
      </c>
      <c r="G176" s="10" t="str">
        <f t="shared" si="11"/>
        <v>Nycholas</v>
      </c>
    </row>
    <row r="177" spans="1:7" x14ac:dyDescent="0.35">
      <c r="B177" s="6"/>
      <c r="C177" s="6"/>
      <c r="D177" s="6"/>
      <c r="E177" s="6"/>
      <c r="F177" s="6"/>
      <c r="G177" s="6"/>
    </row>
    <row r="178" spans="1:7" x14ac:dyDescent="0.35">
      <c r="A178" s="85" t="s">
        <v>231</v>
      </c>
      <c r="B178" s="86"/>
      <c r="C178" s="87"/>
      <c r="D178" s="6"/>
      <c r="E178" s="84" t="s">
        <v>234</v>
      </c>
      <c r="F178" s="84"/>
      <c r="G178" s="84"/>
    </row>
    <row r="179" spans="1:7" x14ac:dyDescent="0.35">
      <c r="A179" s="9" t="str">
        <f>$A169</f>
        <v>Nycholas</v>
      </c>
      <c r="B179" s="10" t="str">
        <f>$A169</f>
        <v>Nycholas</v>
      </c>
      <c r="C179" s="10" t="str">
        <f>$A169</f>
        <v>Nycholas</v>
      </c>
      <c r="D179" s="6"/>
      <c r="E179" s="10" t="str">
        <f>A$169</f>
        <v>Nycholas</v>
      </c>
      <c r="F179" s="10" t="str">
        <f t="shared" ref="F179:G181" si="14">B$169</f>
        <v>Fernando</v>
      </c>
      <c r="G179" s="10" t="str">
        <f t="shared" si="14"/>
        <v>Ana</v>
      </c>
    </row>
    <row r="180" spans="1:7" x14ac:dyDescent="0.35">
      <c r="A180" s="9" t="str">
        <f t="shared" ref="A180:A181" si="15">$A170</f>
        <v>Joao</v>
      </c>
      <c r="B180" s="10" t="str">
        <f>$A170</f>
        <v>Joao</v>
      </c>
      <c r="C180" s="10" t="str">
        <f>$A170</f>
        <v>Joao</v>
      </c>
      <c r="D180" s="6"/>
      <c r="E180" s="10" t="str">
        <f t="shared" ref="E180:E181" si="16">A$169</f>
        <v>Nycholas</v>
      </c>
      <c r="F180" s="10" t="str">
        <f t="shared" si="14"/>
        <v>Fernando</v>
      </c>
      <c r="G180" s="10" t="str">
        <f t="shared" si="14"/>
        <v>Ana</v>
      </c>
    </row>
    <row r="181" spans="1:7" x14ac:dyDescent="0.35">
      <c r="A181" s="9" t="str">
        <f t="shared" si="15"/>
        <v>Maria</v>
      </c>
      <c r="B181" s="10" t="str">
        <f>$A171</f>
        <v>Maria</v>
      </c>
      <c r="C181" s="10" t="str">
        <f>$A171</f>
        <v>Maria</v>
      </c>
      <c r="D181" s="6"/>
      <c r="E181" s="10" t="str">
        <f t="shared" si="16"/>
        <v>Nycholas</v>
      </c>
      <c r="F181" s="10" t="str">
        <f t="shared" si="14"/>
        <v>Fernando</v>
      </c>
      <c r="G181" s="10" t="str">
        <f t="shared" si="14"/>
        <v>Ana</v>
      </c>
    </row>
    <row r="182" spans="1:7" x14ac:dyDescent="0.35">
      <c r="A182" s="39"/>
    </row>
    <row r="183" spans="1:7" x14ac:dyDescent="0.35">
      <c r="A183" s="39"/>
    </row>
    <row r="184" spans="1:7" x14ac:dyDescent="0.35">
      <c r="A184" s="7" t="s">
        <v>25</v>
      </c>
      <c r="B184" s="8" t="s">
        <v>41</v>
      </c>
      <c r="C184" s="8" t="s">
        <v>42</v>
      </c>
      <c r="E184" s="8" t="s">
        <v>42</v>
      </c>
      <c r="F184" s="61">
        <v>0.2</v>
      </c>
    </row>
    <row r="185" spans="1:7" x14ac:dyDescent="0.35">
      <c r="A185" s="9" t="s">
        <v>1</v>
      </c>
      <c r="B185" s="45">
        <v>35840</v>
      </c>
      <c r="C185" s="46">
        <f>B185*$F$184</f>
        <v>7168</v>
      </c>
      <c r="F185" s="51"/>
    </row>
    <row r="186" spans="1:7" x14ac:dyDescent="0.35">
      <c r="A186" s="9" t="s">
        <v>2</v>
      </c>
      <c r="B186" s="45">
        <v>26329</v>
      </c>
      <c r="C186" s="46">
        <f t="shared" ref="C186:C191" si="17">B186*$F$184</f>
        <v>5265.8</v>
      </c>
      <c r="F186" s="51"/>
    </row>
    <row r="187" spans="1:7" x14ac:dyDescent="0.35">
      <c r="A187" s="9" t="s">
        <v>37</v>
      </c>
      <c r="B187" s="45">
        <v>46414</v>
      </c>
      <c r="C187" s="46">
        <f t="shared" si="17"/>
        <v>9282.8000000000011</v>
      </c>
      <c r="F187" s="51"/>
    </row>
    <row r="188" spans="1:7" x14ac:dyDescent="0.35">
      <c r="A188" s="9" t="s">
        <v>38</v>
      </c>
      <c r="B188" s="45">
        <v>22025</v>
      </c>
      <c r="C188" s="46">
        <f t="shared" si="17"/>
        <v>4405</v>
      </c>
      <c r="F188" s="51"/>
    </row>
    <row r="189" spans="1:7" x14ac:dyDescent="0.35">
      <c r="A189" s="9" t="s">
        <v>39</v>
      </c>
      <c r="B189" s="45">
        <v>38061</v>
      </c>
      <c r="C189" s="46">
        <f t="shared" si="17"/>
        <v>7612.2000000000007</v>
      </c>
      <c r="F189" s="51"/>
    </row>
    <row r="190" spans="1:7" x14ac:dyDescent="0.35">
      <c r="A190" s="9" t="s">
        <v>40</v>
      </c>
      <c r="B190" s="45">
        <v>28757</v>
      </c>
      <c r="C190" s="46">
        <f t="shared" si="17"/>
        <v>5751.4000000000005</v>
      </c>
      <c r="F190" s="51"/>
    </row>
    <row r="191" spans="1:7" x14ac:dyDescent="0.35">
      <c r="A191" s="9" t="s">
        <v>28</v>
      </c>
      <c r="B191" s="45">
        <v>47692</v>
      </c>
      <c r="C191" s="46">
        <f t="shared" si="17"/>
        <v>9538.4</v>
      </c>
      <c r="F191" s="51"/>
    </row>
    <row r="192" spans="1:7" x14ac:dyDescent="0.35">
      <c r="A192" s="39"/>
    </row>
    <row r="193" spans="1:9" x14ac:dyDescent="0.35">
      <c r="A193" s="39"/>
    </row>
    <row r="194" spans="1:9" x14ac:dyDescent="0.35">
      <c r="A194" s="7" t="s">
        <v>108</v>
      </c>
      <c r="B194" s="6"/>
    </row>
    <row r="195" spans="1:9" x14ac:dyDescent="0.35">
      <c r="A195" s="7" t="s">
        <v>25</v>
      </c>
      <c r="B195" s="8" t="s">
        <v>36</v>
      </c>
      <c r="D195" s="8" t="s">
        <v>236</v>
      </c>
      <c r="E195" s="8" t="s">
        <v>237</v>
      </c>
    </row>
    <row r="196" spans="1:9" x14ac:dyDescent="0.35">
      <c r="A196" s="9" t="s">
        <v>28</v>
      </c>
      <c r="B196" s="10">
        <v>250</v>
      </c>
      <c r="D196" s="10" t="str">
        <f>CONCATENATE(A196,B196)</f>
        <v>NYCHOLAS250</v>
      </c>
      <c r="E196" s="10" t="str">
        <f>CONCATENATE(A196&amp;" "&amp;B196&amp;" "&amp;C196)</f>
        <v xml:space="preserve">NYCHOLAS 250 </v>
      </c>
    </row>
    <row r="197" spans="1:9" x14ac:dyDescent="0.35">
      <c r="A197" s="9" t="s">
        <v>3</v>
      </c>
      <c r="B197" s="10">
        <v>406</v>
      </c>
      <c r="D197" s="10" t="str">
        <f t="shared" ref="D197:D198" si="18">CONCATENATE(A197,B197)</f>
        <v>ANA406</v>
      </c>
      <c r="E197" s="10" t="str">
        <f t="shared" ref="E197:E198" si="19">CONCATENATE(A197&amp;" "&amp;B197)</f>
        <v>ANA 406</v>
      </c>
    </row>
    <row r="198" spans="1:9" x14ac:dyDescent="0.35">
      <c r="A198" s="9" t="s">
        <v>68</v>
      </c>
      <c r="B198" s="10">
        <v>506</v>
      </c>
      <c r="D198" s="10" t="str">
        <f t="shared" si="18"/>
        <v>RENATA506</v>
      </c>
      <c r="E198" s="10" t="str">
        <f t="shared" si="19"/>
        <v>RENATA 506</v>
      </c>
    </row>
    <row r="199" spans="1:9" x14ac:dyDescent="0.35">
      <c r="A199" s="39"/>
      <c r="B199" s="6"/>
    </row>
    <row r="200" spans="1:9" x14ac:dyDescent="0.35">
      <c r="A200" s="8" t="s">
        <v>238</v>
      </c>
      <c r="B200" s="6"/>
    </row>
    <row r="201" spans="1:9" x14ac:dyDescent="0.35">
      <c r="A201" s="8" t="s">
        <v>239</v>
      </c>
      <c r="B201" s="8" t="s">
        <v>50</v>
      </c>
      <c r="C201" s="8" t="s">
        <v>241</v>
      </c>
      <c r="E201" s="8" t="s">
        <v>50</v>
      </c>
      <c r="F201" s="8" t="s">
        <v>245</v>
      </c>
      <c r="G201" s="8" t="s">
        <v>241</v>
      </c>
      <c r="H201" s="8" t="s">
        <v>239</v>
      </c>
      <c r="I201" s="8" t="s">
        <v>51</v>
      </c>
    </row>
    <row r="202" spans="1:9" x14ac:dyDescent="0.35">
      <c r="A202" s="24">
        <v>1</v>
      </c>
      <c r="B202" s="10" t="s">
        <v>214</v>
      </c>
      <c r="C202" s="10" t="s">
        <v>242</v>
      </c>
      <c r="E202" s="10" t="str">
        <f>LEFT(B202,2)</f>
        <v>NY</v>
      </c>
      <c r="F202" s="10" t="str">
        <f>RIGHT(B202,2)</f>
        <v>IZ</v>
      </c>
      <c r="G202" s="10" t="str">
        <f>LEFT(C202,2)</f>
        <v>PR</v>
      </c>
      <c r="H202" s="10" t="str">
        <f>_xlfn.CONCAT("000",A202)</f>
        <v>0001</v>
      </c>
      <c r="I202" s="10" t="str">
        <f>_xlfn.CONCAT(E202:H202)</f>
        <v>NYIZPR0001</v>
      </c>
    </row>
    <row r="203" spans="1:9" x14ac:dyDescent="0.35">
      <c r="A203" s="24">
        <v>2</v>
      </c>
      <c r="B203" s="10" t="s">
        <v>240</v>
      </c>
      <c r="C203" s="10" t="s">
        <v>243</v>
      </c>
      <c r="E203" s="10" t="str">
        <f>LEFT(B203,2)</f>
        <v>MA</v>
      </c>
      <c r="F203" s="10" t="str">
        <f>RIGHT(B203,2)</f>
        <v>IA</v>
      </c>
      <c r="G203" s="10" t="str">
        <f>RIGHT(C203,2)</f>
        <v>RO</v>
      </c>
      <c r="H203" s="10" t="str">
        <f>_xlfn.CONCAT("000",A203)</f>
        <v>0002</v>
      </c>
      <c r="I203" s="10" t="str">
        <f>_xlfn.CONCAT(E203:H203)</f>
        <v>MAIARO0002</v>
      </c>
    </row>
    <row r="204" spans="1:9" x14ac:dyDescent="0.35">
      <c r="A204" s="24">
        <v>3</v>
      </c>
      <c r="B204" s="10" t="s">
        <v>213</v>
      </c>
      <c r="C204" s="10" t="s">
        <v>244</v>
      </c>
      <c r="E204" s="10" t="str">
        <f>LEFT(B204,2)</f>
        <v>BR</v>
      </c>
      <c r="F204" s="10" t="str">
        <f>RIGHT(B204,2)</f>
        <v>ES</v>
      </c>
      <c r="G204" s="10" t="str">
        <f>RIGHT(C204,2)</f>
        <v>OR</v>
      </c>
      <c r="H204" s="10" t="str">
        <f>_xlfn.CONCAT("000",A204)</f>
        <v>0003</v>
      </c>
      <c r="I204" s="10" t="str">
        <f>_xlfn.CONCAT(E204:H204)</f>
        <v>BRESOR0003</v>
      </c>
    </row>
    <row r="205" spans="1:9" x14ac:dyDescent="0.35">
      <c r="A205" s="39"/>
      <c r="B205" s="6"/>
    </row>
    <row r="206" spans="1:9" x14ac:dyDescent="0.35">
      <c r="A206" s="39"/>
      <c r="B206" s="6"/>
    </row>
    <row r="207" spans="1:9" x14ac:dyDescent="0.35">
      <c r="A207" s="8" t="s">
        <v>60</v>
      </c>
    </row>
    <row r="208" spans="1:9" x14ac:dyDescent="0.35">
      <c r="A208" s="8" t="s">
        <v>98</v>
      </c>
      <c r="B208" s="8" t="s">
        <v>99</v>
      </c>
      <c r="C208" s="8" t="s">
        <v>105</v>
      </c>
    </row>
    <row r="209" spans="1:4" x14ac:dyDescent="0.35">
      <c r="A209" s="54" t="s">
        <v>100</v>
      </c>
      <c r="B209" s="10" t="str">
        <f>MID(A209,1,3)</f>
        <v>ABC</v>
      </c>
      <c r="C209" s="10" t="str">
        <f>LEFT(A209,3)</f>
        <v>ABC</v>
      </c>
    </row>
    <row r="210" spans="1:4" x14ac:dyDescent="0.35">
      <c r="A210" s="54" t="s">
        <v>101</v>
      </c>
      <c r="B210" s="10" t="str">
        <f t="shared" ref="B210:B213" si="20">MID(A210,1,3)</f>
        <v>DEF</v>
      </c>
      <c r="C210" s="10" t="str">
        <f t="shared" ref="C210:C213" si="21">LEFT(A210,3)</f>
        <v>DEF</v>
      </c>
    </row>
    <row r="211" spans="1:4" x14ac:dyDescent="0.35">
      <c r="A211" s="54" t="s">
        <v>102</v>
      </c>
      <c r="B211" s="10" t="str">
        <f t="shared" si="20"/>
        <v>GHI</v>
      </c>
      <c r="C211" s="10" t="str">
        <f t="shared" si="21"/>
        <v>GHI</v>
      </c>
    </row>
    <row r="212" spans="1:4" x14ac:dyDescent="0.35">
      <c r="A212" s="54" t="s">
        <v>103</v>
      </c>
      <c r="B212" s="10" t="str">
        <f t="shared" si="20"/>
        <v>JKL</v>
      </c>
      <c r="C212" s="10" t="str">
        <f t="shared" si="21"/>
        <v>JKL</v>
      </c>
    </row>
    <row r="213" spans="1:4" x14ac:dyDescent="0.35">
      <c r="A213" s="54" t="s">
        <v>104</v>
      </c>
      <c r="B213" s="10" t="str">
        <f t="shared" si="20"/>
        <v>MNO</v>
      </c>
      <c r="C213" s="10" t="str">
        <f t="shared" si="21"/>
        <v>MNO</v>
      </c>
    </row>
    <row r="214" spans="1:4" x14ac:dyDescent="0.35">
      <c r="A214" s="39"/>
      <c r="B214" s="6"/>
    </row>
    <row r="215" spans="1:4" x14ac:dyDescent="0.35">
      <c r="A215" s="54" t="s">
        <v>61</v>
      </c>
      <c r="B215" s="10" t="str">
        <f>RIGHT(A215,4)</f>
        <v>TEMA</v>
      </c>
    </row>
    <row r="216" spans="1:4" x14ac:dyDescent="0.35">
      <c r="A216" s="54" t="s">
        <v>59</v>
      </c>
      <c r="B216" s="10" t="str">
        <f>LEFT(A216,5)</f>
        <v>CONFI</v>
      </c>
    </row>
    <row r="217" spans="1:4" x14ac:dyDescent="0.35">
      <c r="A217" s="39"/>
      <c r="B217" s="6"/>
    </row>
    <row r="218" spans="1:4" x14ac:dyDescent="0.35">
      <c r="A218" s="39"/>
      <c r="B218" s="6"/>
    </row>
    <row r="219" spans="1:4" x14ac:dyDescent="0.35">
      <c r="B219" s="64" t="s">
        <v>107</v>
      </c>
      <c r="C219" s="64" t="s">
        <v>124</v>
      </c>
      <c r="D219" s="64" t="s">
        <v>246</v>
      </c>
    </row>
    <row r="220" spans="1:4" x14ac:dyDescent="0.35">
      <c r="A220" s="42" t="s">
        <v>109</v>
      </c>
      <c r="B220" s="10" t="str">
        <f>TRIM(A220)</f>
        <v>FERNANDO MAIA</v>
      </c>
      <c r="C220" s="22" t="str">
        <f>PROPER(B220)</f>
        <v>Fernando Maia</v>
      </c>
      <c r="D220" s="22" t="str">
        <f>TRIM(PROPER(A220))</f>
        <v>Fernando Maia</v>
      </c>
    </row>
    <row r="221" spans="1:4" x14ac:dyDescent="0.35">
      <c r="A221" s="42" t="s">
        <v>110</v>
      </c>
      <c r="B221" s="10" t="str">
        <f t="shared" ref="B221:B226" si="22">TRIM(A221)</f>
        <v>MARIA SILVA</v>
      </c>
      <c r="C221" s="22" t="str">
        <f t="shared" ref="C221:C226" si="23">PROPER(B221)</f>
        <v>Maria Silva</v>
      </c>
      <c r="D221" s="22" t="str">
        <f t="shared" ref="D221:D226" si="24">TRIM(PROPER(A221))</f>
        <v>Maria Silva</v>
      </c>
    </row>
    <row r="222" spans="1:4" x14ac:dyDescent="0.35">
      <c r="A222" s="9" t="s">
        <v>111</v>
      </c>
      <c r="B222" s="10" t="str">
        <f t="shared" si="22"/>
        <v>ANDERSON JUNIOR</v>
      </c>
      <c r="C222" s="22" t="str">
        <f t="shared" si="23"/>
        <v>Anderson Junior</v>
      </c>
      <c r="D222" s="22" t="str">
        <f t="shared" si="24"/>
        <v>Anderson Junior</v>
      </c>
    </row>
    <row r="223" spans="1:4" x14ac:dyDescent="0.35">
      <c r="A223" s="52" t="s">
        <v>112</v>
      </c>
      <c r="B223" s="10" t="str">
        <f t="shared" si="22"/>
        <v>FRANCISCA MADALENA</v>
      </c>
      <c r="C223" s="22" t="str">
        <f t="shared" si="23"/>
        <v>Francisca Madalena</v>
      </c>
      <c r="D223" s="22" t="str">
        <f t="shared" si="24"/>
        <v>Francisca Madalena</v>
      </c>
    </row>
    <row r="224" spans="1:4" x14ac:dyDescent="0.35">
      <c r="A224" s="53" t="s">
        <v>113</v>
      </c>
      <c r="B224" s="10" t="str">
        <f t="shared" si="22"/>
        <v>PEDRO VITOR</v>
      </c>
      <c r="C224" s="22" t="str">
        <f t="shared" si="23"/>
        <v>Pedro Vitor</v>
      </c>
      <c r="D224" s="22" t="str">
        <f t="shared" si="24"/>
        <v>Pedro Vitor</v>
      </c>
    </row>
    <row r="225" spans="1:4" x14ac:dyDescent="0.35">
      <c r="A225" s="9" t="s">
        <v>114</v>
      </c>
      <c r="B225" s="10" t="str">
        <f t="shared" si="22"/>
        <v>CARLOS LUIZ</v>
      </c>
      <c r="C225" s="22" t="str">
        <f t="shared" si="23"/>
        <v>Carlos Luiz</v>
      </c>
      <c r="D225" s="22" t="str">
        <f t="shared" si="24"/>
        <v>Carlos Luiz</v>
      </c>
    </row>
    <row r="226" spans="1:4" x14ac:dyDescent="0.35">
      <c r="A226" s="42" t="s">
        <v>115</v>
      </c>
      <c r="B226" s="10" t="str">
        <f t="shared" si="22"/>
        <v>FRANCISCO ANDERSON</v>
      </c>
      <c r="C226" s="22" t="str">
        <f t="shared" si="23"/>
        <v>Francisco Anderson</v>
      </c>
      <c r="D226" s="22" t="str">
        <f t="shared" si="24"/>
        <v>Francisco Anderson</v>
      </c>
    </row>
    <row r="227" spans="1:4" x14ac:dyDescent="0.35">
      <c r="A227" s="39"/>
      <c r="B227" s="6"/>
    </row>
    <row r="228" spans="1:4" x14ac:dyDescent="0.35">
      <c r="A228" s="64" t="s">
        <v>126</v>
      </c>
      <c r="B228" s="6"/>
      <c r="C228" s="6"/>
      <c r="D228" s="6"/>
    </row>
    <row r="229" spans="1:4" x14ac:dyDescent="0.35">
      <c r="A229" s="64" t="s">
        <v>25</v>
      </c>
      <c r="B229" s="64" t="s">
        <v>127</v>
      </c>
      <c r="C229" s="6"/>
      <c r="D229" s="6"/>
    </row>
    <row r="230" spans="1:4" x14ac:dyDescent="0.35">
      <c r="A230" s="9" t="s">
        <v>1</v>
      </c>
      <c r="B230" s="6" t="str" cm="1">
        <f t="array" ref="B230:B236">_xlfn.UNIQUE(A230:A238)</f>
        <v>JOÃO</v>
      </c>
      <c r="C230" s="6"/>
      <c r="D230" s="6"/>
    </row>
    <row r="231" spans="1:4" x14ac:dyDescent="0.35">
      <c r="A231" s="9" t="s">
        <v>2</v>
      </c>
      <c r="B231" s="6" t="str">
        <v>MARIA</v>
      </c>
      <c r="C231" s="6"/>
      <c r="D231" s="6"/>
    </row>
    <row r="232" spans="1:4" x14ac:dyDescent="0.35">
      <c r="A232" s="9" t="s">
        <v>37</v>
      </c>
      <c r="B232" s="6" t="str">
        <v>FERNANDA</v>
      </c>
      <c r="C232" s="6"/>
      <c r="D232" s="6"/>
    </row>
    <row r="233" spans="1:4" x14ac:dyDescent="0.35">
      <c r="A233" s="9" t="s">
        <v>1</v>
      </c>
      <c r="B233" s="6" t="str">
        <v>JULIA</v>
      </c>
      <c r="C233" s="6"/>
      <c r="D233" s="6"/>
    </row>
    <row r="234" spans="1:4" x14ac:dyDescent="0.35">
      <c r="A234" s="9" t="s">
        <v>1</v>
      </c>
      <c r="B234" s="6" t="str">
        <v>MARCELO</v>
      </c>
      <c r="C234" s="6"/>
      <c r="D234" s="6"/>
    </row>
    <row r="235" spans="1:4" x14ac:dyDescent="0.35">
      <c r="A235" s="9" t="s">
        <v>38</v>
      </c>
      <c r="B235" s="6" t="str">
        <v>LUCAS</v>
      </c>
      <c r="C235" s="6"/>
      <c r="D235" s="6"/>
    </row>
    <row r="236" spans="1:4" x14ac:dyDescent="0.35">
      <c r="A236" s="9" t="s">
        <v>39</v>
      </c>
      <c r="B236" s="6" t="str">
        <v>NYCHOLAS</v>
      </c>
      <c r="C236" s="6"/>
      <c r="D236" s="6"/>
    </row>
    <row r="237" spans="1:4" x14ac:dyDescent="0.35">
      <c r="A237" s="9" t="s">
        <v>40</v>
      </c>
      <c r="B237" s="6"/>
      <c r="C237" s="6"/>
      <c r="D237" s="6"/>
    </row>
    <row r="238" spans="1:4" x14ac:dyDescent="0.35">
      <c r="A238" s="9" t="s">
        <v>28</v>
      </c>
      <c r="B238" s="6"/>
      <c r="C238" s="6"/>
      <c r="D238" s="6"/>
    </row>
    <row r="239" spans="1:4" x14ac:dyDescent="0.35">
      <c r="B239" s="6"/>
      <c r="C239" s="6"/>
      <c r="D239" s="6"/>
    </row>
    <row r="240" spans="1:4" x14ac:dyDescent="0.35">
      <c r="A240" s="39"/>
    </row>
    <row r="241" spans="1:3" x14ac:dyDescent="0.35">
      <c r="A241" s="64" t="s">
        <v>62</v>
      </c>
    </row>
    <row r="242" spans="1:3" x14ac:dyDescent="0.35">
      <c r="A242" s="54">
        <v>10</v>
      </c>
    </row>
    <row r="243" spans="1:3" x14ac:dyDescent="0.35">
      <c r="A243" s="54">
        <v>20</v>
      </c>
    </row>
    <row r="244" spans="1:3" x14ac:dyDescent="0.35">
      <c r="A244" s="54">
        <v>30</v>
      </c>
    </row>
    <row r="245" spans="1:3" x14ac:dyDescent="0.35">
      <c r="A245" s="54">
        <v>40</v>
      </c>
    </row>
    <row r="246" spans="1:3" x14ac:dyDescent="0.35">
      <c r="A246" s="54">
        <v>50</v>
      </c>
    </row>
    <row r="247" spans="1:3" x14ac:dyDescent="0.35">
      <c r="A247" s="24">
        <f>AVERAGE(A242:A246)</f>
        <v>30</v>
      </c>
      <c r="B247" s="24">
        <f>SUM(A242:A246)/5</f>
        <v>30</v>
      </c>
    </row>
    <row r="248" spans="1:3" x14ac:dyDescent="0.35">
      <c r="A248" s="39"/>
    </row>
    <row r="249" spans="1:3" x14ac:dyDescent="0.35">
      <c r="A249" s="64" t="s">
        <v>31</v>
      </c>
    </row>
    <row r="250" spans="1:3" x14ac:dyDescent="0.35">
      <c r="A250" s="9" t="s">
        <v>58</v>
      </c>
      <c r="B250" s="10" t="str">
        <f>MID(A250,1,5)</f>
        <v xml:space="preserve">NOTA </v>
      </c>
    </row>
    <row r="251" spans="1:3" x14ac:dyDescent="0.35">
      <c r="A251" s="9" t="s">
        <v>56</v>
      </c>
      <c r="B251" s="10" t="str">
        <f>MID(A251,1,6)</f>
        <v>INSUMO</v>
      </c>
    </row>
    <row r="253" spans="1:3" x14ac:dyDescent="0.35">
      <c r="A253" s="64" t="s">
        <v>17</v>
      </c>
      <c r="B253" s="6" t="s">
        <v>125</v>
      </c>
    </row>
    <row r="254" spans="1:3" x14ac:dyDescent="0.35">
      <c r="A254" s="9">
        <f>MONTH(B254)</f>
        <v>10</v>
      </c>
      <c r="B254" s="55">
        <v>44491</v>
      </c>
      <c r="C254" s="50" t="str">
        <f>TEXT(B254,"mm")</f>
        <v>10</v>
      </c>
    </row>
    <row r="256" spans="1:3" x14ac:dyDescent="0.35">
      <c r="A256" s="64" t="s">
        <v>18</v>
      </c>
      <c r="B256" s="6" t="s">
        <v>125</v>
      </c>
    </row>
    <row r="257" spans="1:8" x14ac:dyDescent="0.35">
      <c r="A257" s="9">
        <f>YEAR(B257)</f>
        <v>2021</v>
      </c>
      <c r="B257" s="55">
        <v>44491</v>
      </c>
    </row>
    <row r="259" spans="1:8" x14ac:dyDescent="0.35">
      <c r="A259" s="73" t="s">
        <v>43</v>
      </c>
      <c r="B259" s="74"/>
      <c r="C259" s="37"/>
      <c r="E259" s="6"/>
    </row>
    <row r="260" spans="1:8" x14ac:dyDescent="0.35">
      <c r="B260" s="64" t="s">
        <v>57</v>
      </c>
      <c r="C260" s="64" t="s">
        <v>44</v>
      </c>
      <c r="E260" s="56"/>
    </row>
    <row r="261" spans="1:8" x14ac:dyDescent="0.35">
      <c r="A261" s="64" t="s">
        <v>47</v>
      </c>
      <c r="B261" s="65">
        <v>26697910000105</v>
      </c>
      <c r="C261" s="10" t="s">
        <v>247</v>
      </c>
    </row>
    <row r="262" spans="1:8" x14ac:dyDescent="0.35">
      <c r="A262" s="64" t="s">
        <v>48</v>
      </c>
      <c r="B262" s="66">
        <v>580079244</v>
      </c>
      <c r="C262" s="10" t="s">
        <v>45</v>
      </c>
    </row>
    <row r="263" spans="1:8" x14ac:dyDescent="0.35">
      <c r="A263" s="64" t="s">
        <v>49</v>
      </c>
      <c r="B263" s="67">
        <v>76822222</v>
      </c>
      <c r="C263" s="10" t="s">
        <v>46</v>
      </c>
    </row>
    <row r="265" spans="1:8" x14ac:dyDescent="0.35">
      <c r="H265" s="6"/>
    </row>
    <row r="268" spans="1:8" x14ac:dyDescent="0.35">
      <c r="C268" s="68"/>
    </row>
    <row r="269" spans="1:8" x14ac:dyDescent="0.35">
      <c r="C269" s="56"/>
    </row>
    <row r="270" spans="1:8" x14ac:dyDescent="0.35">
      <c r="C270" s="69"/>
    </row>
    <row r="271" spans="1:8" x14ac:dyDescent="0.35">
      <c r="C271" s="70"/>
    </row>
  </sheetData>
  <autoFilter ref="A28:F43" xr:uid="{10F6615D-498A-4BDC-A12D-885E354E9269}"/>
  <mergeCells count="12">
    <mergeCell ref="A259:B259"/>
    <mergeCell ref="J33:J34"/>
    <mergeCell ref="H38:H40"/>
    <mergeCell ref="J38:J40"/>
    <mergeCell ref="H1:I1"/>
    <mergeCell ref="H33:H34"/>
    <mergeCell ref="F1:G1"/>
    <mergeCell ref="E173:G173"/>
    <mergeCell ref="A178:C178"/>
    <mergeCell ref="E178:G178"/>
    <mergeCell ref="A173:C173"/>
    <mergeCell ref="A168:C168"/>
  </mergeCells>
  <phoneticPr fontId="2" type="noConversion"/>
  <conditionalFormatting sqref="J49">
    <cfRule type="cellIs" dxfId="0" priority="1" operator="greaterThan">
      <formula>2</formula>
    </cfRule>
  </conditionalFormatting>
  <dataValidations disablePrompts="1" count="1">
    <dataValidation type="list" allowBlank="1" showInputMessage="1" showErrorMessage="1" sqref="K76" xr:uid="{FF4CA6A4-B02F-4EC6-9935-C1815B1EA09F}">
      <formula1>"1,2,3"</formula1>
    </dataValidation>
  </dataValidations>
  <pageMargins left="0.511811024" right="0.511811024" top="0.78740157499999996" bottom="0.78740157499999996" header="0.31496062000000002" footer="0.31496062000000002"/>
  <pageSetup paperSize="9" scale="53" orientation="portrait" horizontalDpi="300" verticalDpi="300" r:id="rId1"/>
  <colBreaks count="1" manualBreakCount="1">
    <brk id="10" max="1048575" man="1"/>
  </col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MENU</vt:lpstr>
      <vt:lpstr>Planilha BASE 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</dc:creator>
  <cp:lastModifiedBy>Nycholas Luiz</cp:lastModifiedBy>
  <cp:lastPrinted>2022-02-02T14:50:58Z</cp:lastPrinted>
  <dcterms:created xsi:type="dcterms:W3CDTF">2021-10-22T12:49:13Z</dcterms:created>
  <dcterms:modified xsi:type="dcterms:W3CDTF">2023-01-19T14:14:32Z</dcterms:modified>
</cp:coreProperties>
</file>